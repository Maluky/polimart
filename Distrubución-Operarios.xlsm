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95" windowWidth="20115" windowHeight="7875"/>
  </bookViews>
  <sheets>
    <sheet name="Aplicación" sheetId="9" r:id="rId1"/>
    <sheet name="Promedios" sheetId="10" r:id="rId2"/>
    <sheet name="Base de Datos" sheetId="12" r:id="rId3"/>
  </sheets>
  <calcPr calcId="145621"/>
</workbook>
</file>

<file path=xl/calcChain.xml><?xml version="1.0" encoding="utf-8"?>
<calcChain xmlns="http://schemas.openxmlformats.org/spreadsheetml/2006/main">
  <c r="Z45" i="10" l="1"/>
  <c r="Z46" i="10" s="1"/>
  <c r="C6" i="10" l="1"/>
  <c r="Q6" i="10" l="1"/>
  <c r="M6" i="10"/>
  <c r="I6" i="10"/>
  <c r="O6" i="10"/>
  <c r="J46" i="10" s="1"/>
  <c r="K6" i="10"/>
  <c r="P6" i="10"/>
  <c r="N6" i="10"/>
  <c r="H46" i="10" s="1"/>
  <c r="J6" i="10"/>
  <c r="L6" i="10"/>
  <c r="G46" i="10" s="1"/>
  <c r="H6" i="10"/>
  <c r="C7" i="10"/>
  <c r="C8" i="10"/>
  <c r="C9" i="10"/>
  <c r="C10" i="10"/>
  <c r="C11" i="10"/>
  <c r="H11" i="10" s="1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5" i="10"/>
  <c r="E6" i="10"/>
  <c r="E46" i="10" l="1"/>
  <c r="Q41" i="10"/>
  <c r="P41" i="10"/>
  <c r="L41" i="10"/>
  <c r="H41" i="10"/>
  <c r="O41" i="10"/>
  <c r="K41" i="10"/>
  <c r="N41" i="10"/>
  <c r="H81" i="10" s="1"/>
  <c r="J41" i="10"/>
  <c r="I41" i="10"/>
  <c r="M41" i="10"/>
  <c r="P33" i="10"/>
  <c r="L33" i="10"/>
  <c r="G73" i="10" s="1"/>
  <c r="H33" i="10"/>
  <c r="O33" i="10"/>
  <c r="K33" i="10"/>
  <c r="N33" i="10"/>
  <c r="H73" i="10" s="1"/>
  <c r="M33" i="10"/>
  <c r="I33" i="10"/>
  <c r="E73" i="10" s="1"/>
  <c r="J33" i="10"/>
  <c r="Q33" i="10"/>
  <c r="P25" i="10"/>
  <c r="L25" i="10"/>
  <c r="H25" i="10"/>
  <c r="J25" i="10"/>
  <c r="M25" i="10"/>
  <c r="O25" i="10"/>
  <c r="K25" i="10"/>
  <c r="N25" i="10"/>
  <c r="H65" i="10" s="1"/>
  <c r="Q25" i="10"/>
  <c r="I25" i="10"/>
  <c r="N40" i="10"/>
  <c r="H80" i="10" s="1"/>
  <c r="J40" i="10"/>
  <c r="Q40" i="10"/>
  <c r="M40" i="10"/>
  <c r="I40" i="10"/>
  <c r="P40" i="10"/>
  <c r="L40" i="10"/>
  <c r="H40" i="10"/>
  <c r="O40" i="10"/>
  <c r="K40" i="10"/>
  <c r="N32" i="10"/>
  <c r="H72" i="10" s="1"/>
  <c r="J32" i="10"/>
  <c r="Q32" i="10"/>
  <c r="M32" i="10"/>
  <c r="I32" i="10"/>
  <c r="P32" i="10"/>
  <c r="H32" i="10"/>
  <c r="O32" i="10"/>
  <c r="J72" i="10" s="1"/>
  <c r="L32" i="10"/>
  <c r="K32" i="10"/>
  <c r="N24" i="10"/>
  <c r="H64" i="10" s="1"/>
  <c r="J24" i="10"/>
  <c r="O24" i="10"/>
  <c r="Q24" i="10"/>
  <c r="M24" i="10"/>
  <c r="I24" i="10"/>
  <c r="E64" i="10" s="1"/>
  <c r="P24" i="10"/>
  <c r="L24" i="10"/>
  <c r="H24" i="10"/>
  <c r="K24" i="10"/>
  <c r="N16" i="10"/>
  <c r="H56" i="10" s="1"/>
  <c r="J16" i="10"/>
  <c r="L16" i="10"/>
  <c r="O16" i="10"/>
  <c r="J56" i="10" s="1"/>
  <c r="K16" i="10"/>
  <c r="Q16" i="10"/>
  <c r="M16" i="10"/>
  <c r="I16" i="10"/>
  <c r="E56" i="10" s="1"/>
  <c r="P16" i="10"/>
  <c r="H16" i="10"/>
  <c r="P39" i="10"/>
  <c r="L39" i="10"/>
  <c r="G79" i="10" s="1"/>
  <c r="H39" i="10"/>
  <c r="O39" i="10"/>
  <c r="K39" i="10"/>
  <c r="N39" i="10"/>
  <c r="H79" i="10" s="1"/>
  <c r="J39" i="10"/>
  <c r="M39" i="10"/>
  <c r="I39" i="10"/>
  <c r="E79" i="10" s="1"/>
  <c r="Q39" i="10"/>
  <c r="P31" i="10"/>
  <c r="L31" i="10"/>
  <c r="H31" i="10"/>
  <c r="O31" i="10"/>
  <c r="J71" i="10" s="1"/>
  <c r="K31" i="10"/>
  <c r="J31" i="10"/>
  <c r="Q31" i="10"/>
  <c r="I31" i="10"/>
  <c r="E71" i="10" s="1"/>
  <c r="M31" i="10"/>
  <c r="N31" i="10"/>
  <c r="H71" i="10" s="1"/>
  <c r="P27" i="10"/>
  <c r="L27" i="10"/>
  <c r="H27" i="10"/>
  <c r="Q27" i="10"/>
  <c r="I27" i="10"/>
  <c r="E67" i="10" s="1"/>
  <c r="O27" i="10"/>
  <c r="J67" i="10" s="1"/>
  <c r="K27" i="10"/>
  <c r="N27" i="10"/>
  <c r="H67" i="10" s="1"/>
  <c r="J27" i="10"/>
  <c r="M27" i="10"/>
  <c r="P23" i="10"/>
  <c r="L23" i="10"/>
  <c r="H23" i="10"/>
  <c r="N23" i="10"/>
  <c r="H63" i="10" s="1"/>
  <c r="Q23" i="10"/>
  <c r="I23" i="10"/>
  <c r="O23" i="10"/>
  <c r="K23" i="10"/>
  <c r="J23" i="10"/>
  <c r="M23" i="10"/>
  <c r="P19" i="10"/>
  <c r="L19" i="10"/>
  <c r="H19" i="10"/>
  <c r="N19" i="10"/>
  <c r="H59" i="10" s="1"/>
  <c r="Q19" i="10"/>
  <c r="I19" i="10"/>
  <c r="E59" i="10" s="1"/>
  <c r="O19" i="10"/>
  <c r="J59" i="10" s="1"/>
  <c r="K19" i="10"/>
  <c r="J19" i="10"/>
  <c r="M19" i="10"/>
  <c r="P15" i="10"/>
  <c r="L15" i="10"/>
  <c r="H15" i="10"/>
  <c r="N15" i="10"/>
  <c r="H55" i="10" s="1"/>
  <c r="M15" i="10"/>
  <c r="O15" i="10"/>
  <c r="K15" i="10"/>
  <c r="J15" i="10"/>
  <c r="Q15" i="10"/>
  <c r="I15" i="10"/>
  <c r="P7" i="10"/>
  <c r="L7" i="10"/>
  <c r="G47" i="10" s="1"/>
  <c r="O7" i="10"/>
  <c r="N7" i="10"/>
  <c r="H47" i="10" s="1"/>
  <c r="Q7" i="10"/>
  <c r="I7" i="10"/>
  <c r="E47" i="10" s="1"/>
  <c r="K7" i="10"/>
  <c r="J7" i="10"/>
  <c r="M7" i="10"/>
  <c r="P37" i="10"/>
  <c r="L37" i="10"/>
  <c r="H37" i="10"/>
  <c r="O37" i="10"/>
  <c r="K37" i="10"/>
  <c r="N37" i="10"/>
  <c r="H77" i="10" s="1"/>
  <c r="J37" i="10"/>
  <c r="Q37" i="10"/>
  <c r="M37" i="10"/>
  <c r="I37" i="10"/>
  <c r="P29" i="10"/>
  <c r="L29" i="10"/>
  <c r="H29" i="10"/>
  <c r="O29" i="10"/>
  <c r="K29" i="10"/>
  <c r="N29" i="10"/>
  <c r="H69" i="10" s="1"/>
  <c r="M29" i="10"/>
  <c r="J29" i="10"/>
  <c r="Q29" i="10"/>
  <c r="I29" i="10"/>
  <c r="P21" i="10"/>
  <c r="L21" i="10"/>
  <c r="H21" i="10"/>
  <c r="J21" i="10"/>
  <c r="M21" i="10"/>
  <c r="O21" i="10"/>
  <c r="K21" i="10"/>
  <c r="N21" i="10"/>
  <c r="H61" i="10" s="1"/>
  <c r="Q21" i="10"/>
  <c r="I21" i="10"/>
  <c r="P17" i="10"/>
  <c r="L17" i="10"/>
  <c r="H17" i="10"/>
  <c r="J17" i="10"/>
  <c r="M17" i="10"/>
  <c r="O17" i="10"/>
  <c r="K17" i="10"/>
  <c r="N17" i="10"/>
  <c r="H57" i="10" s="1"/>
  <c r="Q17" i="10"/>
  <c r="I17" i="10"/>
  <c r="N36" i="10"/>
  <c r="H76" i="10" s="1"/>
  <c r="J36" i="10"/>
  <c r="Q36" i="10"/>
  <c r="M36" i="10"/>
  <c r="I36" i="10"/>
  <c r="E76" i="10" s="1"/>
  <c r="P36" i="10"/>
  <c r="L36" i="10"/>
  <c r="H36" i="10"/>
  <c r="K36" i="10"/>
  <c r="O36" i="10"/>
  <c r="N28" i="10"/>
  <c r="H68" i="10" s="1"/>
  <c r="J28" i="10"/>
  <c r="Q28" i="10"/>
  <c r="M28" i="10"/>
  <c r="I28" i="10"/>
  <c r="P28" i="10"/>
  <c r="H28" i="10"/>
  <c r="O28" i="10"/>
  <c r="K28" i="10"/>
  <c r="L28" i="10"/>
  <c r="G68" i="10" s="1"/>
  <c r="N20" i="10"/>
  <c r="H60" i="10" s="1"/>
  <c r="J20" i="10"/>
  <c r="L20" i="10"/>
  <c r="O20" i="10"/>
  <c r="Q20" i="10"/>
  <c r="M20" i="10"/>
  <c r="I20" i="10"/>
  <c r="P20" i="10"/>
  <c r="H20" i="10"/>
  <c r="K20" i="10"/>
  <c r="P35" i="10"/>
  <c r="L35" i="10"/>
  <c r="H35" i="10"/>
  <c r="O35" i="10"/>
  <c r="K35" i="10"/>
  <c r="J35" i="10"/>
  <c r="Q35" i="10"/>
  <c r="I35" i="10"/>
  <c r="M35" i="10"/>
  <c r="N35" i="10"/>
  <c r="H75" i="10" s="1"/>
  <c r="Q5" i="10"/>
  <c r="M5" i="10"/>
  <c r="I5" i="10"/>
  <c r="L5" i="10"/>
  <c r="G45" i="10" s="1"/>
  <c r="O5" i="10"/>
  <c r="J45" i="10" s="1"/>
  <c r="P5" i="10"/>
  <c r="H5" i="10"/>
  <c r="K5" i="10"/>
  <c r="N5" i="10"/>
  <c r="H45" i="10" s="1"/>
  <c r="J5" i="10"/>
  <c r="N38" i="10"/>
  <c r="H78" i="10" s="1"/>
  <c r="J38" i="10"/>
  <c r="Q38" i="10"/>
  <c r="M38" i="10"/>
  <c r="I38" i="10"/>
  <c r="P38" i="10"/>
  <c r="L38" i="10"/>
  <c r="G78" i="10" s="1"/>
  <c r="H38" i="10"/>
  <c r="K38" i="10"/>
  <c r="O38" i="10"/>
  <c r="J78" i="10" s="1"/>
  <c r="N34" i="10"/>
  <c r="H74" i="10" s="1"/>
  <c r="J34" i="10"/>
  <c r="Q34" i="10"/>
  <c r="M34" i="10"/>
  <c r="I34" i="10"/>
  <c r="E74" i="10" s="1"/>
  <c r="L34" i="10"/>
  <c r="K34" i="10"/>
  <c r="O34" i="10"/>
  <c r="J74" i="10" s="1"/>
  <c r="P34" i="10"/>
  <c r="H34" i="10"/>
  <c r="N30" i="10"/>
  <c r="H70" i="10" s="1"/>
  <c r="J30" i="10"/>
  <c r="Q30" i="10"/>
  <c r="M30" i="10"/>
  <c r="I30" i="10"/>
  <c r="L30" i="10"/>
  <c r="G70" i="10" s="1"/>
  <c r="K30" i="10"/>
  <c r="P30" i="10"/>
  <c r="H30" i="10"/>
  <c r="O30" i="10"/>
  <c r="N26" i="10"/>
  <c r="H66" i="10" s="1"/>
  <c r="J26" i="10"/>
  <c r="K26" i="10"/>
  <c r="Q26" i="10"/>
  <c r="M26" i="10"/>
  <c r="I26" i="10"/>
  <c r="P26" i="10"/>
  <c r="L26" i="10"/>
  <c r="H26" i="10"/>
  <c r="O26" i="10"/>
  <c r="N22" i="10"/>
  <c r="H62" i="10" s="1"/>
  <c r="J22" i="10"/>
  <c r="P22" i="10"/>
  <c r="H22" i="10"/>
  <c r="K22" i="10"/>
  <c r="Q22" i="10"/>
  <c r="M22" i="10"/>
  <c r="I22" i="10"/>
  <c r="E62" i="10" s="1"/>
  <c r="L22" i="10"/>
  <c r="O22" i="10"/>
  <c r="N18" i="10"/>
  <c r="H58" i="10" s="1"/>
  <c r="J18" i="10"/>
  <c r="P18" i="10"/>
  <c r="H18" i="10"/>
  <c r="K18" i="10"/>
  <c r="Q18" i="10"/>
  <c r="M18" i="10"/>
  <c r="I18" i="10"/>
  <c r="E58" i="10" s="1"/>
  <c r="L18" i="10"/>
  <c r="G58" i="10" s="1"/>
  <c r="O18" i="10"/>
  <c r="N14" i="10"/>
  <c r="H54" i="10" s="1"/>
  <c r="J14" i="10"/>
  <c r="P14" i="10"/>
  <c r="H14" i="10"/>
  <c r="O14" i="10"/>
  <c r="J54" i="10" s="1"/>
  <c r="Q14" i="10"/>
  <c r="M14" i="10"/>
  <c r="I14" i="10"/>
  <c r="E54" i="10" s="1"/>
  <c r="L14" i="10"/>
  <c r="K14" i="10"/>
  <c r="O10" i="10"/>
  <c r="K10" i="10"/>
  <c r="N10" i="10"/>
  <c r="H50" i="10" s="1"/>
  <c r="Q10" i="10"/>
  <c r="J10" i="10"/>
  <c r="M10" i="10"/>
  <c r="P10" i="10"/>
  <c r="L10" i="10"/>
  <c r="G50" i="10" s="1"/>
  <c r="P12" i="10"/>
  <c r="L12" i="10"/>
  <c r="H12" i="10"/>
  <c r="O12" i="10"/>
  <c r="K12" i="10"/>
  <c r="Q12" i="10"/>
  <c r="N12" i="10"/>
  <c r="H52" i="10" s="1"/>
  <c r="J12" i="10"/>
  <c r="M12" i="10"/>
  <c r="I12" i="10"/>
  <c r="O11" i="10"/>
  <c r="J51" i="10" s="1"/>
  <c r="K11" i="10"/>
  <c r="J11" i="10"/>
  <c r="Q11" i="10"/>
  <c r="M11" i="10"/>
  <c r="I11" i="10"/>
  <c r="E51" i="10" s="1"/>
  <c r="P11" i="10"/>
  <c r="N11" i="10"/>
  <c r="H51" i="10" s="1"/>
  <c r="L11" i="10"/>
  <c r="G51" i="10" s="1"/>
  <c r="Q9" i="10"/>
  <c r="M9" i="10"/>
  <c r="I9" i="10"/>
  <c r="K9" i="10"/>
  <c r="N9" i="10"/>
  <c r="H49" i="10" s="1"/>
  <c r="P9" i="10"/>
  <c r="L9" i="10"/>
  <c r="H9" i="10"/>
  <c r="O9" i="10"/>
  <c r="J9" i="10"/>
  <c r="H7" i="10"/>
  <c r="Q13" i="10"/>
  <c r="M13" i="10"/>
  <c r="I13" i="10"/>
  <c r="E53" i="10" s="1"/>
  <c r="K13" i="10"/>
  <c r="J13" i="10"/>
  <c r="P13" i="10"/>
  <c r="L13" i="10"/>
  <c r="G53" i="10" s="1"/>
  <c r="H13" i="10"/>
  <c r="O13" i="10"/>
  <c r="J53" i="10" s="1"/>
  <c r="N13" i="10"/>
  <c r="H53" i="10" s="1"/>
  <c r="H10" i="10"/>
  <c r="I10" i="10"/>
  <c r="Q8" i="10"/>
  <c r="M8" i="10"/>
  <c r="J8" i="10"/>
  <c r="P8" i="10"/>
  <c r="L8" i="10"/>
  <c r="I8" i="10"/>
  <c r="E48" i="10" s="1"/>
  <c r="O8" i="10"/>
  <c r="J48" i="10" s="1"/>
  <c r="H8" i="10"/>
  <c r="N8" i="10"/>
  <c r="H48" i="10" s="1"/>
  <c r="K8" i="10"/>
  <c r="J49" i="10" l="1"/>
  <c r="J52" i="10"/>
  <c r="J62" i="10"/>
  <c r="J70" i="10"/>
  <c r="G75" i="10"/>
  <c r="G57" i="10"/>
  <c r="J77" i="10"/>
  <c r="J80" i="10"/>
  <c r="E80" i="10"/>
  <c r="G81" i="10"/>
  <c r="J63" i="10"/>
  <c r="E52" i="10"/>
  <c r="E61" i="10"/>
  <c r="E78" i="10"/>
  <c r="G80" i="10"/>
  <c r="G60" i="10"/>
  <c r="J79" i="10"/>
  <c r="G55" i="10"/>
  <c r="G66" i="10"/>
  <c r="J57" i="10"/>
  <c r="E69" i="10"/>
  <c r="G56" i="10"/>
  <c r="G48" i="10"/>
  <c r="G54" i="10"/>
  <c r="G62" i="10"/>
  <c r="E70" i="10"/>
  <c r="E45" i="10"/>
  <c r="E60" i="10"/>
  <c r="E68" i="10"/>
  <c r="G76" i="10"/>
  <c r="E55" i="10"/>
  <c r="J55" i="10"/>
  <c r="E63" i="10"/>
  <c r="G63" i="10"/>
  <c r="G71" i="10"/>
  <c r="G64" i="10"/>
  <c r="E65" i="10"/>
  <c r="J65" i="10"/>
  <c r="G65" i="10"/>
  <c r="J73" i="10"/>
  <c r="J50" i="10"/>
  <c r="G59" i="10"/>
  <c r="G67" i="10"/>
  <c r="J60" i="10"/>
  <c r="E57" i="10"/>
  <c r="G69" i="10"/>
  <c r="E50" i="10"/>
  <c r="G49" i="10"/>
  <c r="E49" i="10"/>
  <c r="G52" i="10"/>
  <c r="J58" i="10"/>
  <c r="J66" i="10"/>
  <c r="E66" i="10"/>
  <c r="G74" i="10"/>
  <c r="E75" i="10"/>
  <c r="J75" i="10"/>
  <c r="J68" i="10"/>
  <c r="J76" i="10"/>
  <c r="J61" i="10"/>
  <c r="G61" i="10"/>
  <c r="J69" i="10"/>
  <c r="E77" i="10"/>
  <c r="G77" i="10"/>
  <c r="J47" i="10"/>
  <c r="J64" i="10"/>
  <c r="G72" i="10"/>
  <c r="E72" i="10"/>
  <c r="E81" i="10"/>
  <c r="J81" i="10"/>
  <c r="G6" i="10"/>
  <c r="D46" i="10" s="1"/>
  <c r="N46" i="10" s="1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5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5" i="10"/>
  <c r="D78" i="10" l="1"/>
  <c r="N78" i="10" s="1"/>
  <c r="D74" i="10"/>
  <c r="N74" i="10" s="1"/>
  <c r="D70" i="10"/>
  <c r="N70" i="10" s="1"/>
  <c r="D62" i="10"/>
  <c r="N62" i="10" s="1"/>
  <c r="D58" i="10"/>
  <c r="N58" i="10" s="1"/>
  <c r="D54" i="10"/>
  <c r="N54" i="10" s="1"/>
  <c r="D50" i="10"/>
  <c r="N50" i="10" s="1"/>
  <c r="D45" i="10"/>
  <c r="N45" i="10" s="1"/>
  <c r="D66" i="10"/>
  <c r="N66" i="10" s="1"/>
  <c r="D77" i="10"/>
  <c r="N77" i="10" s="1"/>
  <c r="D69" i="10"/>
  <c r="N69" i="10" s="1"/>
  <c r="D61" i="10"/>
  <c r="N61" i="10" s="1"/>
  <c r="D53" i="10"/>
  <c r="N53" i="10" s="1"/>
  <c r="D80" i="10"/>
  <c r="N80" i="10" s="1"/>
  <c r="D76" i="10"/>
  <c r="N76" i="10" s="1"/>
  <c r="D72" i="10"/>
  <c r="N72" i="10" s="1"/>
  <c r="D68" i="10"/>
  <c r="N68" i="10" s="1"/>
  <c r="D64" i="10"/>
  <c r="N64" i="10" s="1"/>
  <c r="D60" i="10"/>
  <c r="N60" i="10" s="1"/>
  <c r="D56" i="10"/>
  <c r="N56" i="10" s="1"/>
  <c r="D52" i="10"/>
  <c r="N52" i="10" s="1"/>
  <c r="D48" i="10"/>
  <c r="N48" i="10" s="1"/>
  <c r="D81" i="10"/>
  <c r="N81" i="10" s="1"/>
  <c r="D73" i="10"/>
  <c r="N73" i="10" s="1"/>
  <c r="D65" i="10"/>
  <c r="N65" i="10" s="1"/>
  <c r="D57" i="10"/>
  <c r="N57" i="10" s="1"/>
  <c r="D49" i="10"/>
  <c r="N49" i="10" s="1"/>
  <c r="D79" i="10"/>
  <c r="N79" i="10" s="1"/>
  <c r="D75" i="10"/>
  <c r="N75" i="10" s="1"/>
  <c r="D71" i="10"/>
  <c r="N71" i="10" s="1"/>
  <c r="D67" i="10"/>
  <c r="N67" i="10" s="1"/>
  <c r="D63" i="10"/>
  <c r="N63" i="10" s="1"/>
  <c r="D59" i="10"/>
  <c r="N59" i="10" s="1"/>
  <c r="D55" i="10"/>
  <c r="N55" i="10" s="1"/>
  <c r="D51" i="10"/>
  <c r="N51" i="10" s="1"/>
  <c r="D47" i="10"/>
  <c r="N47" i="10" s="1"/>
  <c r="K46" i="10"/>
  <c r="F46" i="10"/>
  <c r="I46" i="10"/>
  <c r="C67" i="10"/>
  <c r="M67" i="10" s="1"/>
  <c r="B67" i="10"/>
  <c r="C45" i="10"/>
  <c r="M45" i="10" s="1"/>
  <c r="B45" i="10"/>
  <c r="K58" i="10" l="1"/>
  <c r="F58" i="10"/>
  <c r="K65" i="10"/>
  <c r="F65" i="10"/>
  <c r="P48" i="10"/>
  <c r="K48" i="10"/>
  <c r="F48" i="10"/>
  <c r="K62" i="10"/>
  <c r="F62" i="10"/>
  <c r="P71" i="10"/>
  <c r="K71" i="10"/>
  <c r="F71" i="10"/>
  <c r="K78" i="10"/>
  <c r="F78" i="10"/>
  <c r="K55" i="10"/>
  <c r="F55" i="10"/>
  <c r="P53" i="10"/>
  <c r="K53" i="10"/>
  <c r="F53" i="10"/>
  <c r="F77" i="10"/>
  <c r="K77" i="10"/>
  <c r="F49" i="10"/>
  <c r="K49" i="10"/>
  <c r="K64" i="10"/>
  <c r="F64" i="10"/>
  <c r="K80" i="10"/>
  <c r="F80" i="10"/>
  <c r="P54" i="10"/>
  <c r="K54" i="10"/>
  <c r="F54" i="10"/>
  <c r="K63" i="10"/>
  <c r="F63" i="10"/>
  <c r="P73" i="10"/>
  <c r="K73" i="10"/>
  <c r="F73" i="10"/>
  <c r="K79" i="10"/>
  <c r="F79" i="10"/>
  <c r="K67" i="10"/>
  <c r="F67" i="10"/>
  <c r="F57" i="10"/>
  <c r="K57" i="10"/>
  <c r="K81" i="10"/>
  <c r="F81" i="10"/>
  <c r="K52" i="10"/>
  <c r="F52" i="10"/>
  <c r="K68" i="10"/>
  <c r="F68" i="10"/>
  <c r="K45" i="10"/>
  <c r="F45" i="10"/>
  <c r="K74" i="10"/>
  <c r="F74" i="10"/>
  <c r="K50" i="10"/>
  <c r="F50" i="10"/>
  <c r="K61" i="10"/>
  <c r="F61" i="10"/>
  <c r="K56" i="10"/>
  <c r="F56" i="10"/>
  <c r="P72" i="10"/>
  <c r="K72" i="10"/>
  <c r="F72" i="10"/>
  <c r="K59" i="10"/>
  <c r="F59" i="10"/>
  <c r="P70" i="10"/>
  <c r="K70" i="10"/>
  <c r="F70" i="10"/>
  <c r="K75" i="10"/>
  <c r="F75" i="10"/>
  <c r="K51" i="10"/>
  <c r="F51" i="10"/>
  <c r="K66" i="10"/>
  <c r="F66" i="10"/>
  <c r="P69" i="10"/>
  <c r="F69" i="10"/>
  <c r="K69" i="10"/>
  <c r="K47" i="10"/>
  <c r="F47" i="10"/>
  <c r="K60" i="10"/>
  <c r="F60" i="10"/>
  <c r="P76" i="10"/>
  <c r="K76" i="10"/>
  <c r="F76" i="10"/>
  <c r="I45" i="10"/>
  <c r="P45" i="10"/>
  <c r="P67" i="10"/>
  <c r="I67" i="10"/>
  <c r="I47" i="10"/>
  <c r="I48" i="10"/>
  <c r="I49" i="10"/>
  <c r="I50" i="10"/>
  <c r="I51" i="10"/>
  <c r="I56" i="10"/>
  <c r="I60" i="10"/>
  <c r="I64" i="10"/>
  <c r="I68" i="10"/>
  <c r="I72" i="10"/>
  <c r="I76" i="10"/>
  <c r="I80" i="10"/>
  <c r="B46" i="10"/>
  <c r="C46" i="10"/>
  <c r="M46" i="10" s="1"/>
  <c r="B47" i="10"/>
  <c r="C47" i="10"/>
  <c r="M47" i="10" s="1"/>
  <c r="B48" i="10"/>
  <c r="C48" i="10"/>
  <c r="M48" i="10" s="1"/>
  <c r="B49" i="10"/>
  <c r="C49" i="10"/>
  <c r="M49" i="10" s="1"/>
  <c r="T49" i="10"/>
  <c r="B50" i="10"/>
  <c r="C50" i="10"/>
  <c r="M50" i="10" s="1"/>
  <c r="B51" i="10"/>
  <c r="C51" i="10"/>
  <c r="M51" i="10" s="1"/>
  <c r="B52" i="10"/>
  <c r="C52" i="10"/>
  <c r="M52" i="10" s="1"/>
  <c r="B53" i="10"/>
  <c r="C53" i="10"/>
  <c r="M53" i="10" s="1"/>
  <c r="B54" i="10"/>
  <c r="C54" i="10"/>
  <c r="M54" i="10" s="1"/>
  <c r="B55" i="10"/>
  <c r="C55" i="10"/>
  <c r="M55" i="10" s="1"/>
  <c r="B56" i="10"/>
  <c r="C56" i="10"/>
  <c r="M56" i="10" s="1"/>
  <c r="B57" i="10"/>
  <c r="C57" i="10"/>
  <c r="M57" i="10" s="1"/>
  <c r="B58" i="10"/>
  <c r="C58" i="10"/>
  <c r="M58" i="10"/>
  <c r="B59" i="10"/>
  <c r="C59" i="10"/>
  <c r="M59" i="10" s="1"/>
  <c r="B60" i="10"/>
  <c r="C60" i="10"/>
  <c r="M60" i="10" s="1"/>
  <c r="B61" i="10"/>
  <c r="C61" i="10"/>
  <c r="M61" i="10" s="1"/>
  <c r="B62" i="10"/>
  <c r="C62" i="10"/>
  <c r="M62" i="10" s="1"/>
  <c r="B63" i="10"/>
  <c r="C63" i="10"/>
  <c r="M63" i="10" s="1"/>
  <c r="B64" i="10"/>
  <c r="C64" i="10"/>
  <c r="M64" i="10" s="1"/>
  <c r="B65" i="10"/>
  <c r="C65" i="10"/>
  <c r="M65" i="10" s="1"/>
  <c r="B66" i="10"/>
  <c r="C66" i="10"/>
  <c r="M66" i="10" s="1"/>
  <c r="B68" i="10"/>
  <c r="C68" i="10"/>
  <c r="M68" i="10" s="1"/>
  <c r="B69" i="10"/>
  <c r="C69" i="10"/>
  <c r="M69" i="10" s="1"/>
  <c r="B70" i="10"/>
  <c r="C70" i="10"/>
  <c r="M70" i="10" s="1"/>
  <c r="B71" i="10"/>
  <c r="C71" i="10"/>
  <c r="M71" i="10" s="1"/>
  <c r="B72" i="10"/>
  <c r="C72" i="10"/>
  <c r="M72" i="10" s="1"/>
  <c r="B73" i="10"/>
  <c r="C73" i="10"/>
  <c r="M73" i="10" s="1"/>
  <c r="B74" i="10"/>
  <c r="C74" i="10"/>
  <c r="M74" i="10" s="1"/>
  <c r="B75" i="10"/>
  <c r="C75" i="10"/>
  <c r="M75" i="10" s="1"/>
  <c r="B76" i="10"/>
  <c r="C76" i="10"/>
  <c r="M76" i="10" s="1"/>
  <c r="B77" i="10"/>
  <c r="C77" i="10"/>
  <c r="M77" i="10" s="1"/>
  <c r="B78" i="10"/>
  <c r="C78" i="10"/>
  <c r="M78" i="10" s="1"/>
  <c r="B79" i="10"/>
  <c r="C79" i="10"/>
  <c r="M79" i="10" s="1"/>
  <c r="B80" i="10"/>
  <c r="C80" i="10"/>
  <c r="M80" i="10" s="1"/>
  <c r="B81" i="10"/>
  <c r="C81" i="10"/>
  <c r="M81" i="10" s="1"/>
  <c r="L45" i="10" l="1"/>
  <c r="O45" i="10" s="1"/>
  <c r="L67" i="10"/>
  <c r="O67" i="10" s="1"/>
  <c r="L55" i="10"/>
  <c r="O55" i="10" s="1"/>
  <c r="I71" i="10"/>
  <c r="I55" i="10"/>
  <c r="L79" i="10"/>
  <c r="O79" i="10" s="1"/>
  <c r="L71" i="10"/>
  <c r="O71" i="10" s="1"/>
  <c r="L63" i="10"/>
  <c r="O63" i="10" s="1"/>
  <c r="I75" i="10"/>
  <c r="I63" i="10"/>
  <c r="I79" i="10"/>
  <c r="I81" i="10"/>
  <c r="I74" i="10"/>
  <c r="I66" i="10"/>
  <c r="I58" i="10"/>
  <c r="I52" i="10"/>
  <c r="I69" i="10"/>
  <c r="I61" i="10"/>
  <c r="I73" i="10"/>
  <c r="L73" i="10"/>
  <c r="O73" i="10" s="1"/>
  <c r="I57" i="10"/>
  <c r="L57" i="10"/>
  <c r="O57" i="10" s="1"/>
  <c r="L81" i="10"/>
  <c r="O81" i="10" s="1"/>
  <c r="L75" i="10"/>
  <c r="O75" i="10" s="1"/>
  <c r="P75" i="10" s="1"/>
  <c r="L59" i="10"/>
  <c r="O59" i="10" s="1"/>
  <c r="P59" i="10" s="1"/>
  <c r="I78" i="10"/>
  <c r="I70" i="10"/>
  <c r="I62" i="10"/>
  <c r="I54" i="10"/>
  <c r="I53" i="10"/>
  <c r="I65" i="10"/>
  <c r="L65" i="10"/>
  <c r="O65" i="10" s="1"/>
  <c r="I77" i="10"/>
  <c r="L77" i="10"/>
  <c r="O77" i="10" s="1"/>
  <c r="I59" i="10"/>
  <c r="P79" i="10" l="1"/>
  <c r="P77" i="10"/>
  <c r="P81" i="10"/>
  <c r="L49" i="10"/>
  <c r="O49" i="10" s="1"/>
  <c r="P49" i="10" s="1"/>
  <c r="P65" i="10"/>
  <c r="P63" i="10"/>
  <c r="P57" i="10"/>
  <c r="P55" i="10"/>
  <c r="L76" i="10"/>
  <c r="O76" i="10" s="1"/>
  <c r="L68" i="10"/>
  <c r="O68" i="10" s="1"/>
  <c r="P68" i="10" s="1"/>
  <c r="L60" i="10"/>
  <c r="O60" i="10" s="1"/>
  <c r="P60" i="10" s="1"/>
  <c r="L51" i="10"/>
  <c r="O51" i="10" s="1"/>
  <c r="P51" i="10" s="1"/>
  <c r="L50" i="10"/>
  <c r="O50" i="10" s="1"/>
  <c r="P50" i="10" s="1"/>
  <c r="L48" i="10"/>
  <c r="O48" i="10" s="1"/>
  <c r="L56" i="10"/>
  <c r="O56" i="10" s="1"/>
  <c r="P56" i="10" s="1"/>
  <c r="L64" i="10"/>
  <c r="O64" i="10" s="1"/>
  <c r="P64" i="10" s="1"/>
  <c r="L72" i="10"/>
  <c r="O72" i="10" s="1"/>
  <c r="L69" i="10"/>
  <c r="O69" i="10" s="1"/>
  <c r="L47" i="10"/>
  <c r="O47" i="10" s="1"/>
  <c r="P47" i="10" s="1"/>
  <c r="L53" i="10"/>
  <c r="O53" i="10" s="1"/>
  <c r="L62" i="10"/>
  <c r="O62" i="10" s="1"/>
  <c r="P62" i="10" s="1"/>
  <c r="L52" i="10"/>
  <c r="O52" i="10" s="1"/>
  <c r="P52" i="10" s="1"/>
  <c r="L46" i="10"/>
  <c r="O46" i="10" s="1"/>
  <c r="P46" i="10" s="1"/>
  <c r="L54" i="10"/>
  <c r="O54" i="10" s="1"/>
  <c r="L80" i="10"/>
  <c r="O80" i="10" s="1"/>
  <c r="P80" i="10" s="1"/>
  <c r="L78" i="10"/>
  <c r="O78" i="10" s="1"/>
  <c r="P78" i="10" s="1"/>
  <c r="L70" i="10"/>
  <c r="O70" i="10" s="1"/>
  <c r="L61" i="10"/>
  <c r="O61" i="10" s="1"/>
  <c r="P61" i="10" s="1"/>
  <c r="L58" i="10"/>
  <c r="O58" i="10" s="1"/>
  <c r="P58" i="10" s="1"/>
  <c r="L66" i="10"/>
  <c r="O66" i="10" s="1"/>
  <c r="P66" i="10" s="1"/>
  <c r="L74" i="10"/>
  <c r="O74" i="10" s="1"/>
  <c r="P74" i="10" s="1"/>
  <c r="Q53" i="10" l="1"/>
  <c r="T46" i="10" s="1"/>
  <c r="P83" i="10"/>
  <c r="Q81" i="10"/>
  <c r="T48" i="10" s="1"/>
  <c r="Q58" i="10"/>
  <c r="T47" i="10" s="1"/>
  <c r="T50" i="10" l="1"/>
</calcChain>
</file>

<file path=xl/comments1.xml><?xml version="1.0" encoding="utf-8"?>
<comments xmlns="http://schemas.openxmlformats.org/spreadsheetml/2006/main">
  <authors>
    <author>Matías</author>
  </authors>
  <commentList>
    <comment ref="C2" authorId="0">
      <text>
        <r>
          <rPr>
            <b/>
            <sz val="10"/>
            <color indexed="81"/>
            <rFont val="Tahoma"/>
            <family val="2"/>
          </rPr>
          <t xml:space="preserve">Pasos Aplicación
</t>
        </r>
        <r>
          <rPr>
            <sz val="10"/>
            <color indexed="81"/>
            <rFont val="Tahoma"/>
            <family val="2"/>
          </rPr>
          <t>1. Seleccionar Producto
2. Actualizar Ciclos y Cavidades
3. Seleccionar Turno
4. Iniciar Aplicación</t>
        </r>
      </text>
    </comment>
  </commentList>
</comments>
</file>

<file path=xl/sharedStrings.xml><?xml version="1.0" encoding="utf-8"?>
<sst xmlns="http://schemas.openxmlformats.org/spreadsheetml/2006/main" count="370" uniqueCount="124">
  <si>
    <t>Suma Tiempos Procesos (Min/Uni)</t>
  </si>
  <si>
    <t>N° minimo Trabajadores por Máquina</t>
  </si>
  <si>
    <t>Tiempo ciclo (Min/Uni)</t>
  </si>
  <si>
    <t>Maq</t>
  </si>
  <si>
    <t>Cálculo Tiempo Ciclo</t>
  </si>
  <si>
    <t>1-A</t>
  </si>
  <si>
    <t>I</t>
  </si>
  <si>
    <t>IS</t>
  </si>
  <si>
    <t>S</t>
  </si>
  <si>
    <t>Cav trab (Uni)</t>
  </si>
  <si>
    <t>Cav (Uni)</t>
  </si>
  <si>
    <t>Ciclo (Seg)</t>
  </si>
  <si>
    <t>Máq.</t>
  </si>
  <si>
    <t>Sec.</t>
  </si>
  <si>
    <t>Plan Diario de Producción</t>
  </si>
  <si>
    <t>Número de personas en etiquetadora</t>
  </si>
  <si>
    <t>Personal óptimo</t>
  </si>
  <si>
    <t>Etiquetado</t>
  </si>
  <si>
    <t>Inyección Soplado</t>
  </si>
  <si>
    <t>Soplado</t>
  </si>
  <si>
    <t>N° Optimo Por Sección</t>
  </si>
  <si>
    <t>Area</t>
  </si>
  <si>
    <t>Tiempo Total (Min/Uni)</t>
  </si>
  <si>
    <t>Tiempo Botar Colado (Min/Uni)</t>
  </si>
  <si>
    <t>Embalar por Producto (Min/Uni)</t>
  </si>
  <si>
    <t>N° Embalajes</t>
  </si>
  <si>
    <t>Ordenar por Unidad en Caja (Min/Uni)</t>
  </si>
  <si>
    <t>Revisión (Min/Uni)</t>
  </si>
  <si>
    <t>Cargar Maq Para un Producto (Min/Uni)</t>
  </si>
  <si>
    <t>Preparar Caja Para un Producto (Min/Uni)</t>
  </si>
  <si>
    <t>Produccion Estimada Trabajo Continuo (Uni)</t>
  </si>
  <si>
    <t>Tiempo botar colado (Seg)</t>
  </si>
  <si>
    <t>Nº veces botar colada</t>
  </si>
  <si>
    <t>Tiempo embalar caja (Seg)</t>
  </si>
  <si>
    <t>Tiempo ordenar prod en caja (Uni/Seg)</t>
  </si>
  <si>
    <t>Cantidad</t>
  </si>
  <si>
    <t>Tiempo revisar prod (Seg)</t>
  </si>
  <si>
    <t xml:space="preserve">Nºcargas </t>
  </si>
  <si>
    <t>Tiempo cargar maq (Seg)</t>
  </si>
  <si>
    <t>Preparar caja (Seg)</t>
  </si>
  <si>
    <t>N° productos x caja</t>
  </si>
  <si>
    <t>Producto</t>
  </si>
  <si>
    <t>Primer Turno</t>
  </si>
  <si>
    <t>Segundo Turno</t>
  </si>
  <si>
    <t>Tercer Turno</t>
  </si>
  <si>
    <t xml:space="preserve">Inyección </t>
  </si>
  <si>
    <t>PB-7</t>
  </si>
  <si>
    <t>Tapa Snap</t>
  </si>
  <si>
    <t>Tapa D-99</t>
  </si>
  <si>
    <t>Tapa 38</t>
  </si>
  <si>
    <t>PB4</t>
  </si>
  <si>
    <t>PB3</t>
  </si>
  <si>
    <t>Tapa 22-Verde</t>
  </si>
  <si>
    <t>Tapa Betun</t>
  </si>
  <si>
    <t>Tapa D-73</t>
  </si>
  <si>
    <t>Rapa R-76 Roja</t>
  </si>
  <si>
    <t xml:space="preserve">Tapa D-11 </t>
  </si>
  <si>
    <t>Tapa Lustramuebles</t>
  </si>
  <si>
    <t>Hombro Doy-pack Frontal</t>
  </si>
  <si>
    <t>Tapa D-32</t>
  </si>
  <si>
    <t>Tapa Gotario</t>
  </si>
  <si>
    <t>Tapa Lavaloza</t>
  </si>
  <si>
    <t>Tapa Doy-Pack</t>
  </si>
  <si>
    <t>Hombro Doy-pack</t>
  </si>
  <si>
    <t>Tapa Colapsable</t>
  </si>
  <si>
    <t>Envase Paltomiel 200 ml</t>
  </si>
  <si>
    <t>Envase quitaesmalte</t>
  </si>
  <si>
    <t>Envase Gotario</t>
  </si>
  <si>
    <t>Envase HF</t>
  </si>
  <si>
    <t>Envase Salero</t>
  </si>
  <si>
    <t>Envase Luval</t>
  </si>
  <si>
    <t xml:space="preserve">Envase Johnson 500ml </t>
  </si>
  <si>
    <t>Envase 300ml</t>
  </si>
  <si>
    <t>Envase Disfruta</t>
  </si>
  <si>
    <t>Envase Colapsable 1.360ml</t>
  </si>
  <si>
    <t>PB1</t>
  </si>
  <si>
    <t>PB7</t>
  </si>
  <si>
    <t>Tapa 16 Blanca</t>
  </si>
  <si>
    <t>Sobretapa Lavaloza</t>
  </si>
  <si>
    <t xml:space="preserve">Sello Gotario </t>
  </si>
  <si>
    <t>Pituto Dispensador</t>
  </si>
  <si>
    <t>Tapa D-14</t>
  </si>
  <si>
    <t xml:space="preserve">Sello T 20 natural </t>
  </si>
  <si>
    <t>Tapa Disfruta Blanca</t>
  </si>
  <si>
    <t xml:space="preserve">Sello T-51 natural </t>
  </si>
  <si>
    <t>Sello 200 Natural</t>
  </si>
  <si>
    <t>Tapa Doy-pack Frontal</t>
  </si>
  <si>
    <t>Tapa R-06</t>
  </si>
  <si>
    <t>Tapa D-27</t>
  </si>
  <si>
    <t>Tapa R-76</t>
  </si>
  <si>
    <t>Tapa QE arenada</t>
  </si>
  <si>
    <t>Tapa Snap inviolable</t>
  </si>
  <si>
    <t>Sello T-51 natural liso</t>
  </si>
  <si>
    <t>Tapa Doy-pack</t>
  </si>
  <si>
    <t>Tapa Jano</t>
  </si>
  <si>
    <t>Sello Gotario</t>
  </si>
  <si>
    <t>Envase POTE</t>
  </si>
  <si>
    <t>Envase agua oxigenada 55ml</t>
  </si>
  <si>
    <t>Envase PTS 110ml</t>
  </si>
  <si>
    <t>Envase Agua del Carmen 40ml</t>
  </si>
  <si>
    <t>Envase Quitaesmalte 60ml</t>
  </si>
  <si>
    <t xml:space="preserve">Envase Roll on 60ml </t>
  </si>
  <si>
    <t>Envase Pilfer 500ml</t>
  </si>
  <si>
    <t>Envase salero 500ml natural</t>
  </si>
  <si>
    <t>Envase salero 125ml natural</t>
  </si>
  <si>
    <t>Envase Lustramuebels 250ml</t>
  </si>
  <si>
    <t>Envase alcohol 1000ml</t>
  </si>
  <si>
    <t>Envase alcohol 500ml</t>
  </si>
  <si>
    <t>Envase Lustramuebles 250ml</t>
  </si>
  <si>
    <t>Envase Lustramuebles 500ml</t>
  </si>
  <si>
    <t xml:space="preserve">Envase lavaloza 100ml </t>
  </si>
  <si>
    <t>Envase Javon 1000 ml natural</t>
  </si>
  <si>
    <t>-</t>
  </si>
  <si>
    <t>Horas Turno</t>
  </si>
  <si>
    <t>Turno</t>
  </si>
  <si>
    <t>Seleccionar Turno</t>
  </si>
  <si>
    <t>Hora</t>
  </si>
  <si>
    <t>Min</t>
  </si>
  <si>
    <t>Pasos Aplicación</t>
  </si>
  <si>
    <t>1. Seleccionar Producto</t>
  </si>
  <si>
    <t>2. Actualizar Ciclos y Cavidades</t>
  </si>
  <si>
    <t>3. Seleccionar Turno</t>
  </si>
  <si>
    <t>Aplicación</t>
  </si>
  <si>
    <t>4. Iniciar Aplicacición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</si>
</sst>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6"/>
      <color rgb="FF000000"/>
      <name val="Calibri"/>
      <family val="2"/>
    </font>
    <font>
      <i/>
      <sz val="14"/>
      <color theme="1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0F0F0"/>
        <bgColor indexed="64"/>
      </patternFill>
    </fill>
  </fills>
  <borders count="19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9">
    <xf numFmtId="0" fontId="0" fillId="0" borderId="0" xfId="0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4" borderId="6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/>
    </xf>
    <xf numFmtId="2" fontId="0" fillId="2" borderId="4" xfId="0" applyNumberForma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2" fontId="0" fillId="2" borderId="2" xfId="0" applyNumberFormat="1" applyFill="1" applyBorder="1" applyAlignment="1">
      <alignment horizontal="center" vertical="center"/>
    </xf>
    <xf numFmtId="2" fontId="0" fillId="2" borderId="0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2" fontId="0" fillId="3" borderId="2" xfId="0" applyNumberFormat="1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2" fontId="0" fillId="2" borderId="3" xfId="0" applyNumberFormat="1" applyFill="1" applyBorder="1" applyAlignment="1">
      <alignment horizontal="center" vertical="center"/>
    </xf>
    <xf numFmtId="2" fontId="0" fillId="2" borderId="5" xfId="0" applyNumberForma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 wrapText="1"/>
    </xf>
    <xf numFmtId="0" fontId="1" fillId="4" borderId="5" xfId="0" applyFont="1" applyFill="1" applyBorder="1" applyAlignment="1">
      <alignment horizontal="center" vertical="center" wrapText="1"/>
    </xf>
    <xf numFmtId="0" fontId="1" fillId="4" borderId="10" xfId="0" applyFont="1" applyFill="1" applyBorder="1" applyAlignment="1">
      <alignment horizontal="center" vertical="center" wrapText="1"/>
    </xf>
    <xf numFmtId="0" fontId="5" fillId="0" borderId="0" xfId="0" applyFont="1"/>
    <xf numFmtId="0" fontId="0" fillId="5" borderId="11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0" fontId="4" fillId="10" borderId="13" xfId="0" applyFont="1" applyFill="1" applyBorder="1" applyAlignment="1">
      <alignment horizontal="center"/>
    </xf>
    <xf numFmtId="2" fontId="4" fillId="10" borderId="2" xfId="0" applyNumberFormat="1" applyFont="1" applyFill="1" applyBorder="1" applyAlignment="1">
      <alignment horizontal="center"/>
    </xf>
    <xf numFmtId="0" fontId="4" fillId="10" borderId="12" xfId="0" applyFont="1" applyFill="1" applyBorder="1" applyAlignment="1">
      <alignment horizontal="center"/>
    </xf>
    <xf numFmtId="0" fontId="4" fillId="10" borderId="3" xfId="0" applyFont="1" applyFill="1" applyBorder="1" applyAlignment="1">
      <alignment horizontal="center"/>
    </xf>
    <xf numFmtId="0" fontId="4" fillId="10" borderId="14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2" fontId="0" fillId="2" borderId="5" xfId="0" applyNumberFormat="1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1" fillId="4" borderId="15" xfId="0" applyFont="1" applyFill="1" applyBorder="1" applyAlignment="1">
      <alignment horizontal="center" vertical="center" wrapText="1"/>
    </xf>
    <xf numFmtId="0" fontId="1" fillId="4" borderId="16" xfId="0" applyFont="1" applyFill="1" applyBorder="1" applyAlignment="1">
      <alignment horizontal="center" vertical="center" wrapText="1"/>
    </xf>
    <xf numFmtId="164" fontId="0" fillId="2" borderId="0" xfId="0" applyNumberFormat="1" applyFill="1" applyBorder="1" applyAlignment="1">
      <alignment horizontal="center" vertical="center"/>
    </xf>
    <xf numFmtId="164" fontId="0" fillId="3" borderId="0" xfId="0" applyNumberFormat="1" applyFill="1" applyBorder="1" applyAlignment="1">
      <alignment horizontal="center" vertical="center"/>
    </xf>
    <xf numFmtId="164" fontId="0" fillId="2" borderId="5" xfId="0" applyNumberForma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8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3" borderId="0" xfId="0" applyNumberFormat="1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 vertical="center"/>
    </xf>
    <xf numFmtId="0" fontId="0" fillId="3" borderId="9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164" fontId="0" fillId="3" borderId="5" xfId="0" applyNumberFormat="1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 vertical="center"/>
    </xf>
    <xf numFmtId="0" fontId="0" fillId="3" borderId="1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164" fontId="0" fillId="3" borderId="4" xfId="0" applyNumberFormat="1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64" fontId="0" fillId="3" borderId="5" xfId="0" applyNumberFormat="1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164" fontId="0" fillId="2" borderId="15" xfId="0" applyNumberFormat="1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64" fontId="0" fillId="3" borderId="15" xfId="0" applyNumberFormat="1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0" fillId="11" borderId="0" xfId="0" applyFill="1"/>
    <xf numFmtId="0" fontId="0" fillId="0" borderId="0" xfId="0" applyFont="1"/>
    <xf numFmtId="0" fontId="0" fillId="2" borderId="2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164" fontId="0" fillId="2" borderId="0" xfId="0" applyNumberFormat="1" applyFont="1" applyFill="1" applyBorder="1" applyAlignment="1">
      <alignment horizontal="center" vertical="center"/>
    </xf>
    <xf numFmtId="0" fontId="0" fillId="2" borderId="9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164" fontId="0" fillId="2" borderId="17" xfId="0" applyNumberFormat="1" applyFill="1" applyBorder="1" applyAlignment="1">
      <alignment horizontal="center" vertical="center"/>
    </xf>
    <xf numFmtId="1" fontId="0" fillId="3" borderId="0" xfId="0" applyNumberFormat="1" applyFill="1" applyBorder="1" applyAlignment="1">
      <alignment horizontal="center" vertical="center"/>
    </xf>
    <xf numFmtId="1" fontId="0" fillId="2" borderId="0" xfId="0" applyNumberForma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2" fontId="4" fillId="0" borderId="0" xfId="0" applyNumberFormat="1" applyFont="1" applyFill="1" applyBorder="1" applyAlignment="1">
      <alignment horizontal="center"/>
    </xf>
    <xf numFmtId="2" fontId="0" fillId="0" borderId="0" xfId="0" applyNumberFormat="1" applyFon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9" borderId="18" xfId="0" applyFont="1" applyFill="1" applyBorder="1" applyAlignment="1">
      <alignment horizontal="center"/>
    </xf>
    <xf numFmtId="2" fontId="0" fillId="9" borderId="17" xfId="0" applyNumberFormat="1" applyFont="1" applyFill="1" applyBorder="1" applyAlignment="1">
      <alignment horizontal="center"/>
    </xf>
    <xf numFmtId="0" fontId="6" fillId="0" borderId="0" xfId="0" applyFont="1"/>
    <xf numFmtId="0" fontId="0" fillId="0" borderId="0" xfId="0" applyFill="1" applyBorder="1" applyAlignment="1">
      <alignment horizontal="left" vertical="center"/>
    </xf>
    <xf numFmtId="0" fontId="0" fillId="3" borderId="14" xfId="0" applyFont="1" applyFill="1" applyBorder="1" applyAlignment="1">
      <alignment horizontal="center" vertic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4" fillId="4" borderId="14" xfId="0" applyFont="1" applyFill="1" applyBorder="1" applyAlignment="1">
      <alignment horizontal="center"/>
    </xf>
    <xf numFmtId="0" fontId="4" fillId="4" borderId="12" xfId="0" applyFont="1" applyFill="1" applyBorder="1" applyAlignment="1">
      <alignment horizontal="center"/>
    </xf>
    <xf numFmtId="0" fontId="4" fillId="4" borderId="13" xfId="0" applyFont="1" applyFill="1" applyBorder="1" applyAlignment="1">
      <alignment horizontal="center"/>
    </xf>
    <xf numFmtId="0" fontId="4" fillId="4" borderId="18" xfId="0" applyFont="1" applyFill="1" applyBorder="1" applyAlignment="1">
      <alignment horizontal="center"/>
    </xf>
    <xf numFmtId="0" fontId="4" fillId="4" borderId="14" xfId="0" applyFont="1" applyFill="1" applyBorder="1" applyAlignment="1">
      <alignment horizontal="center" vertical="center" wrapText="1"/>
    </xf>
    <xf numFmtId="0" fontId="5" fillId="12" borderId="10" xfId="0" applyFont="1" applyFill="1" applyBorder="1" applyAlignment="1">
      <alignment horizontal="center" vertical="center" wrapText="1"/>
    </xf>
    <xf numFmtId="0" fontId="5" fillId="12" borderId="5" xfId="0" applyFont="1" applyFill="1" applyBorder="1" applyAlignment="1">
      <alignment horizontal="center" vertical="center" wrapText="1"/>
    </xf>
    <xf numFmtId="0" fontId="5" fillId="12" borderId="9" xfId="0" applyFont="1" applyFill="1" applyBorder="1" applyAlignment="1">
      <alignment horizontal="center" vertical="center" wrapText="1"/>
    </xf>
    <xf numFmtId="0" fontId="5" fillId="12" borderId="0" xfId="0" applyFont="1" applyFill="1" applyBorder="1" applyAlignment="1">
      <alignment horizontal="center" vertical="center" wrapText="1"/>
    </xf>
    <xf numFmtId="0" fontId="0" fillId="12" borderId="2" xfId="0" applyFill="1" applyBorder="1"/>
    <xf numFmtId="0" fontId="5" fillId="12" borderId="8" xfId="0" applyFont="1" applyFill="1" applyBorder="1" applyAlignment="1">
      <alignment horizontal="center" vertical="center" wrapText="1"/>
    </xf>
    <xf numFmtId="0" fontId="5" fillId="12" borderId="4" xfId="0" applyFont="1" applyFill="1" applyBorder="1" applyAlignment="1">
      <alignment horizontal="center" vertical="center" wrapText="1"/>
    </xf>
    <xf numFmtId="0" fontId="0" fillId="12" borderId="1" xfId="0" applyFill="1" applyBorder="1"/>
    <xf numFmtId="0" fontId="8" fillId="12" borderId="3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left" vertical="center"/>
    </xf>
    <xf numFmtId="0" fontId="2" fillId="4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0F0F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14288</xdr:colOff>
          <xdr:row>6</xdr:row>
          <xdr:rowOff>33338</xdr:rowOff>
        </xdr:from>
        <xdr:to>
          <xdr:col>10</xdr:col>
          <xdr:colOff>1190626</xdr:colOff>
          <xdr:row>8</xdr:row>
          <xdr:rowOff>154328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L" sz="16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B2:L46"/>
  <sheetViews>
    <sheetView tabSelected="1" zoomScale="80" zoomScaleNormal="80" workbookViewId="0">
      <selection activeCell="L18" sqref="L18"/>
    </sheetView>
  </sheetViews>
  <sheetFormatPr baseColWidth="10" defaultRowHeight="15" x14ac:dyDescent="0.25"/>
  <cols>
    <col min="2" max="2" width="10.85546875" bestFit="1" customWidth="1"/>
    <col min="3" max="3" width="27.85546875" bestFit="1" customWidth="1"/>
    <col min="4" max="4" width="9" bestFit="1" customWidth="1"/>
    <col min="5" max="5" width="11.28515625" bestFit="1" customWidth="1"/>
    <col min="6" max="6" width="10.140625" bestFit="1" customWidth="1"/>
    <col min="7" max="7" width="14.28515625" bestFit="1" customWidth="1"/>
    <col min="11" max="11" width="19.140625" bestFit="1" customWidth="1"/>
    <col min="13" max="13" width="19.140625" bestFit="1" customWidth="1"/>
    <col min="14" max="14" width="21.7109375" bestFit="1" customWidth="1"/>
  </cols>
  <sheetData>
    <row r="2" spans="2:12" ht="21" x14ac:dyDescent="0.35">
      <c r="B2" s="127" t="s">
        <v>14</v>
      </c>
      <c r="C2" s="26"/>
    </row>
    <row r="5" spans="2:12" ht="15.75" thickBot="1" x14ac:dyDescent="0.3">
      <c r="J5" s="59"/>
      <c r="K5" s="59"/>
      <c r="L5" s="59"/>
    </row>
    <row r="6" spans="2:12" ht="19.5" thickBot="1" x14ac:dyDescent="0.35">
      <c r="B6" s="25" t="s">
        <v>13</v>
      </c>
      <c r="C6" s="24" t="s">
        <v>41</v>
      </c>
      <c r="D6" s="24" t="s">
        <v>12</v>
      </c>
      <c r="E6" s="23" t="s">
        <v>11</v>
      </c>
      <c r="F6" s="23" t="s">
        <v>10</v>
      </c>
      <c r="G6" s="148" t="s">
        <v>9</v>
      </c>
      <c r="I6" s="138" t="s">
        <v>115</v>
      </c>
      <c r="J6" s="139"/>
      <c r="K6" s="146" t="s">
        <v>42</v>
      </c>
    </row>
    <row r="7" spans="2:12" ht="18.75" customHeight="1" x14ac:dyDescent="0.25">
      <c r="B7" s="22" t="s">
        <v>8</v>
      </c>
      <c r="C7" s="21" t="s">
        <v>112</v>
      </c>
      <c r="D7" s="21">
        <v>1</v>
      </c>
      <c r="E7" s="20">
        <v>0</v>
      </c>
      <c r="F7" s="20">
        <v>0</v>
      </c>
      <c r="G7" s="19">
        <v>0</v>
      </c>
      <c r="I7" s="140" t="s">
        <v>122</v>
      </c>
      <c r="J7" s="141"/>
      <c r="K7" s="142"/>
    </row>
    <row r="8" spans="2:12" ht="15" customHeight="1" x14ac:dyDescent="0.25">
      <c r="B8" s="13" t="s">
        <v>8</v>
      </c>
      <c r="C8" s="3" t="s">
        <v>74</v>
      </c>
      <c r="D8" s="3" t="s">
        <v>5</v>
      </c>
      <c r="E8" s="18">
        <v>15.95</v>
      </c>
      <c r="F8" s="18">
        <v>2.42</v>
      </c>
      <c r="G8" s="17">
        <v>2.42</v>
      </c>
      <c r="I8" s="140"/>
      <c r="J8" s="141"/>
      <c r="K8" s="142"/>
    </row>
    <row r="9" spans="2:12" ht="15.75" thickBot="1" x14ac:dyDescent="0.3">
      <c r="B9" s="16" t="s">
        <v>8</v>
      </c>
      <c r="C9" s="5" t="s">
        <v>69</v>
      </c>
      <c r="D9" s="5">
        <v>2</v>
      </c>
      <c r="E9" s="15">
        <v>13</v>
      </c>
      <c r="F9" s="15">
        <v>1</v>
      </c>
      <c r="G9" s="14">
        <v>1</v>
      </c>
      <c r="I9" s="143"/>
      <c r="J9" s="144"/>
      <c r="K9" s="145"/>
    </row>
    <row r="10" spans="2:12" x14ac:dyDescent="0.25">
      <c r="B10" s="13" t="s">
        <v>8</v>
      </c>
      <c r="C10" s="3" t="s">
        <v>110</v>
      </c>
      <c r="D10" s="3">
        <v>3</v>
      </c>
      <c r="E10" s="18">
        <v>0</v>
      </c>
      <c r="F10" s="18">
        <v>0</v>
      </c>
      <c r="G10" s="17">
        <v>0</v>
      </c>
      <c r="J10" s="60"/>
      <c r="L10" s="60"/>
    </row>
    <row r="11" spans="2:12" x14ac:dyDescent="0.25">
      <c r="B11" s="16" t="s">
        <v>8</v>
      </c>
      <c r="C11" s="5" t="s">
        <v>71</v>
      </c>
      <c r="D11" s="5">
        <v>4</v>
      </c>
      <c r="E11" s="15">
        <v>23</v>
      </c>
      <c r="F11" s="15">
        <v>1</v>
      </c>
      <c r="G11" s="14">
        <v>1</v>
      </c>
      <c r="J11" s="60"/>
      <c r="L11" s="60"/>
    </row>
    <row r="12" spans="2:12" ht="18.75" x14ac:dyDescent="0.25">
      <c r="B12" s="13" t="s">
        <v>8</v>
      </c>
      <c r="C12" s="3" t="s">
        <v>108</v>
      </c>
      <c r="D12" s="3">
        <v>5</v>
      </c>
      <c r="E12" s="18">
        <v>16.5</v>
      </c>
      <c r="F12" s="18">
        <v>2</v>
      </c>
      <c r="G12" s="17">
        <v>2</v>
      </c>
      <c r="I12" s="147" t="s">
        <v>118</v>
      </c>
      <c r="J12" s="60"/>
    </row>
    <row r="13" spans="2:12" x14ac:dyDescent="0.25">
      <c r="B13" s="16" t="s">
        <v>8</v>
      </c>
      <c r="C13" s="5" t="s">
        <v>107</v>
      </c>
      <c r="D13" s="5">
        <v>6</v>
      </c>
      <c r="E13" s="15">
        <v>15.3</v>
      </c>
      <c r="F13" s="15">
        <v>2</v>
      </c>
      <c r="G13" s="14">
        <v>2</v>
      </c>
      <c r="I13" t="s">
        <v>119</v>
      </c>
      <c r="J13" s="60"/>
    </row>
    <row r="14" spans="2:12" x14ac:dyDescent="0.25">
      <c r="B14" s="13" t="s">
        <v>8</v>
      </c>
      <c r="C14" s="3" t="s">
        <v>106</v>
      </c>
      <c r="D14" s="3">
        <v>7</v>
      </c>
      <c r="E14" s="18">
        <v>15.5</v>
      </c>
      <c r="F14" s="18">
        <v>2</v>
      </c>
      <c r="G14" s="17">
        <v>2</v>
      </c>
      <c r="I14" t="s">
        <v>120</v>
      </c>
      <c r="J14" s="60"/>
    </row>
    <row r="15" spans="2:12" x14ac:dyDescent="0.25">
      <c r="B15" s="16" t="s">
        <v>8</v>
      </c>
      <c r="C15" s="5" t="s">
        <v>103</v>
      </c>
      <c r="D15" s="5">
        <v>9</v>
      </c>
      <c r="E15" s="15">
        <v>0</v>
      </c>
      <c r="F15" s="15">
        <v>0</v>
      </c>
      <c r="G15" s="14">
        <v>0</v>
      </c>
      <c r="I15" s="128" t="s">
        <v>121</v>
      </c>
      <c r="J15" s="60"/>
    </row>
    <row r="16" spans="2:12" x14ac:dyDescent="0.25">
      <c r="B16" s="13" t="s">
        <v>7</v>
      </c>
      <c r="C16" s="3" t="s">
        <v>68</v>
      </c>
      <c r="D16" s="3">
        <v>9</v>
      </c>
      <c r="E16" s="18">
        <v>0</v>
      </c>
      <c r="F16" s="18">
        <v>0</v>
      </c>
      <c r="G16" s="17">
        <v>0</v>
      </c>
      <c r="I16" s="128" t="s">
        <v>123</v>
      </c>
      <c r="J16" s="60"/>
      <c r="K16" s="60"/>
      <c r="L16" s="60"/>
    </row>
    <row r="17" spans="2:12" x14ac:dyDescent="0.25">
      <c r="B17" s="16" t="s">
        <v>7</v>
      </c>
      <c r="C17" s="5" t="s">
        <v>67</v>
      </c>
      <c r="D17" s="5">
        <v>10</v>
      </c>
      <c r="E17" s="15">
        <v>16</v>
      </c>
      <c r="F17" s="15">
        <v>4</v>
      </c>
      <c r="G17" s="14">
        <v>4</v>
      </c>
      <c r="J17" s="60"/>
      <c r="K17" s="60"/>
      <c r="L17" s="60"/>
    </row>
    <row r="18" spans="2:12" x14ac:dyDescent="0.25">
      <c r="B18" s="13" t="s">
        <v>7</v>
      </c>
      <c r="C18" s="3" t="s">
        <v>98</v>
      </c>
      <c r="D18" s="3">
        <v>29</v>
      </c>
      <c r="E18" s="18">
        <v>16.5</v>
      </c>
      <c r="F18" s="18">
        <v>3</v>
      </c>
      <c r="G18" s="17">
        <v>3</v>
      </c>
      <c r="J18" s="60"/>
      <c r="L18" s="60"/>
    </row>
    <row r="19" spans="2:12" x14ac:dyDescent="0.25">
      <c r="B19" s="16" t="s">
        <v>7</v>
      </c>
      <c r="C19" s="5" t="s">
        <v>96</v>
      </c>
      <c r="D19" s="5">
        <v>34</v>
      </c>
      <c r="E19" s="15">
        <v>13.5</v>
      </c>
      <c r="F19" s="15">
        <v>3</v>
      </c>
      <c r="G19" s="14">
        <v>3</v>
      </c>
      <c r="J19" s="60"/>
      <c r="L19" s="60"/>
    </row>
    <row r="20" spans="2:12" x14ac:dyDescent="0.25">
      <c r="B20" s="13" t="s">
        <v>7</v>
      </c>
      <c r="C20" s="3" t="s">
        <v>65</v>
      </c>
      <c r="D20" s="3">
        <v>35</v>
      </c>
      <c r="E20" s="18">
        <v>15.5</v>
      </c>
      <c r="F20" s="18">
        <v>2</v>
      </c>
      <c r="G20" s="17">
        <v>2</v>
      </c>
      <c r="J20" s="60"/>
      <c r="L20" s="60"/>
    </row>
    <row r="21" spans="2:12" x14ac:dyDescent="0.25">
      <c r="B21" s="16" t="s">
        <v>6</v>
      </c>
      <c r="C21" s="5" t="s">
        <v>94</v>
      </c>
      <c r="D21" s="5" t="s">
        <v>5</v>
      </c>
      <c r="E21" s="15">
        <v>20.2</v>
      </c>
      <c r="F21" s="15">
        <v>8</v>
      </c>
      <c r="G21" s="14">
        <v>7</v>
      </c>
      <c r="J21" s="60"/>
      <c r="L21" s="60"/>
    </row>
    <row r="22" spans="2:12" x14ac:dyDescent="0.25">
      <c r="B22" s="13" t="s">
        <v>6</v>
      </c>
      <c r="C22" s="3" t="s">
        <v>64</v>
      </c>
      <c r="D22" s="3">
        <v>2</v>
      </c>
      <c r="E22" s="18">
        <v>18.8</v>
      </c>
      <c r="F22" s="18">
        <v>10</v>
      </c>
      <c r="G22" s="17">
        <v>9</v>
      </c>
      <c r="J22" s="60"/>
      <c r="L22" s="60"/>
    </row>
    <row r="23" spans="2:12" x14ac:dyDescent="0.25">
      <c r="B23" s="16" t="s">
        <v>6</v>
      </c>
      <c r="C23" s="5" t="s">
        <v>63</v>
      </c>
      <c r="D23" s="5">
        <v>3</v>
      </c>
      <c r="E23" s="15">
        <v>18.2</v>
      </c>
      <c r="F23" s="15">
        <v>6</v>
      </c>
      <c r="G23" s="14">
        <v>6</v>
      </c>
      <c r="J23" s="60"/>
      <c r="K23" s="60"/>
      <c r="L23" s="60"/>
    </row>
    <row r="24" spans="2:12" x14ac:dyDescent="0.25">
      <c r="B24" s="13" t="s">
        <v>6</v>
      </c>
      <c r="C24" s="3" t="s">
        <v>62</v>
      </c>
      <c r="D24" s="3">
        <v>4</v>
      </c>
      <c r="E24" s="18">
        <v>21.6</v>
      </c>
      <c r="F24" s="18">
        <v>12</v>
      </c>
      <c r="G24" s="17">
        <v>11</v>
      </c>
      <c r="J24" s="60"/>
      <c r="K24" s="60"/>
      <c r="L24" s="60"/>
    </row>
    <row r="25" spans="2:12" x14ac:dyDescent="0.25">
      <c r="B25" s="16" t="s">
        <v>6</v>
      </c>
      <c r="C25" s="5" t="s">
        <v>61</v>
      </c>
      <c r="D25" s="5">
        <v>5</v>
      </c>
      <c r="E25" s="15">
        <v>30.1</v>
      </c>
      <c r="F25" s="15">
        <v>12</v>
      </c>
      <c r="G25" s="14">
        <v>9</v>
      </c>
      <c r="J25" s="60"/>
      <c r="K25" s="60"/>
      <c r="L25" s="60"/>
    </row>
    <row r="26" spans="2:12" x14ac:dyDescent="0.25">
      <c r="B26" s="13" t="s">
        <v>6</v>
      </c>
      <c r="C26" s="3" t="s">
        <v>60</v>
      </c>
      <c r="D26" s="3">
        <v>6</v>
      </c>
      <c r="E26" s="18">
        <v>32.700000000000003</v>
      </c>
      <c r="F26" s="18">
        <v>8</v>
      </c>
      <c r="G26" s="17">
        <v>6</v>
      </c>
      <c r="J26" s="60"/>
      <c r="K26" s="60"/>
      <c r="L26" s="60"/>
    </row>
    <row r="27" spans="2:12" x14ac:dyDescent="0.25">
      <c r="B27" s="16" t="s">
        <v>6</v>
      </c>
      <c r="C27" s="5" t="s">
        <v>59</v>
      </c>
      <c r="D27" s="5">
        <v>7</v>
      </c>
      <c r="E27" s="15">
        <v>26</v>
      </c>
      <c r="F27" s="15">
        <v>6</v>
      </c>
      <c r="G27" s="14">
        <v>3</v>
      </c>
      <c r="J27" s="60"/>
      <c r="K27" s="60"/>
      <c r="L27" s="60"/>
    </row>
    <row r="28" spans="2:12" x14ac:dyDescent="0.25">
      <c r="B28" s="13" t="s">
        <v>6</v>
      </c>
      <c r="C28" s="3" t="s">
        <v>58</v>
      </c>
      <c r="D28" s="3">
        <v>8</v>
      </c>
      <c r="E28" s="18">
        <v>10.8</v>
      </c>
      <c r="F28" s="18">
        <v>12</v>
      </c>
      <c r="G28" s="17">
        <v>4</v>
      </c>
      <c r="J28" s="60"/>
      <c r="K28" s="60"/>
      <c r="L28" s="60"/>
    </row>
    <row r="29" spans="2:12" x14ac:dyDescent="0.25">
      <c r="B29" s="16" t="s">
        <v>6</v>
      </c>
      <c r="C29" s="5" t="s">
        <v>112</v>
      </c>
      <c r="D29" s="5">
        <v>11</v>
      </c>
      <c r="E29" s="15">
        <v>0</v>
      </c>
      <c r="F29" s="15">
        <v>0</v>
      </c>
      <c r="G29" s="14">
        <v>0</v>
      </c>
      <c r="J29" s="60"/>
      <c r="K29" s="60"/>
      <c r="L29" s="60"/>
    </row>
    <row r="30" spans="2:12" x14ac:dyDescent="0.25">
      <c r="B30" s="13" t="s">
        <v>6</v>
      </c>
      <c r="C30" s="3" t="s">
        <v>57</v>
      </c>
      <c r="D30" s="3">
        <v>12</v>
      </c>
      <c r="E30" s="18">
        <v>21.9</v>
      </c>
      <c r="F30" s="18">
        <v>4</v>
      </c>
      <c r="G30" s="17">
        <v>4</v>
      </c>
      <c r="J30" s="60"/>
      <c r="K30" s="60"/>
      <c r="L30" s="60"/>
    </row>
    <row r="31" spans="2:12" x14ac:dyDescent="0.25">
      <c r="B31" s="16" t="s">
        <v>6</v>
      </c>
      <c r="C31" s="5" t="s">
        <v>56</v>
      </c>
      <c r="D31" s="5">
        <v>15</v>
      </c>
      <c r="E31" s="15">
        <v>0</v>
      </c>
      <c r="F31" s="15">
        <v>0</v>
      </c>
      <c r="G31" s="14">
        <v>0</v>
      </c>
      <c r="J31" s="60"/>
      <c r="K31" s="60"/>
      <c r="L31" s="60"/>
    </row>
    <row r="32" spans="2:12" x14ac:dyDescent="0.25">
      <c r="B32" s="13" t="s">
        <v>6</v>
      </c>
      <c r="C32" s="3" t="s">
        <v>55</v>
      </c>
      <c r="D32" s="3">
        <v>16</v>
      </c>
      <c r="E32" s="18">
        <v>0</v>
      </c>
      <c r="F32" s="18">
        <v>0</v>
      </c>
      <c r="G32" s="17">
        <v>0</v>
      </c>
      <c r="J32" s="60"/>
      <c r="K32" s="60"/>
      <c r="L32" s="60"/>
    </row>
    <row r="33" spans="2:12" x14ac:dyDescent="0.25">
      <c r="B33" s="16" t="s">
        <v>6</v>
      </c>
      <c r="C33" s="5" t="s">
        <v>54</v>
      </c>
      <c r="D33" s="5">
        <v>18</v>
      </c>
      <c r="E33" s="15">
        <v>0</v>
      </c>
      <c r="F33" s="15">
        <v>0</v>
      </c>
      <c r="G33" s="14">
        <v>0</v>
      </c>
      <c r="J33" s="60"/>
      <c r="K33" s="60"/>
      <c r="L33" s="60"/>
    </row>
    <row r="34" spans="2:12" x14ac:dyDescent="0.25">
      <c r="B34" s="13" t="s">
        <v>6</v>
      </c>
      <c r="C34" s="3" t="s">
        <v>53</v>
      </c>
      <c r="D34" s="3">
        <v>19</v>
      </c>
      <c r="E34" s="18">
        <v>0</v>
      </c>
      <c r="F34" s="18">
        <v>0</v>
      </c>
      <c r="G34" s="17">
        <v>0</v>
      </c>
      <c r="J34" s="60"/>
      <c r="K34" s="60"/>
      <c r="L34" s="60"/>
    </row>
    <row r="35" spans="2:12" x14ac:dyDescent="0.25">
      <c r="B35" s="16" t="s">
        <v>6</v>
      </c>
      <c r="C35" s="5" t="s">
        <v>52</v>
      </c>
      <c r="D35" s="5">
        <v>20</v>
      </c>
      <c r="E35" s="15">
        <v>0</v>
      </c>
      <c r="F35" s="15">
        <v>0</v>
      </c>
      <c r="G35" s="14">
        <v>0</v>
      </c>
      <c r="J35" s="60"/>
      <c r="K35" s="60"/>
      <c r="L35" s="60"/>
    </row>
    <row r="36" spans="2:12" x14ac:dyDescent="0.25">
      <c r="B36" s="13" t="s">
        <v>6</v>
      </c>
      <c r="C36" s="3" t="s">
        <v>51</v>
      </c>
      <c r="D36" s="3">
        <v>25</v>
      </c>
      <c r="E36" s="18">
        <v>18</v>
      </c>
      <c r="F36" s="18">
        <v>4</v>
      </c>
      <c r="G36" s="17">
        <v>2</v>
      </c>
      <c r="J36" s="60"/>
      <c r="K36" s="60"/>
      <c r="L36" s="60"/>
    </row>
    <row r="37" spans="2:12" x14ac:dyDescent="0.25">
      <c r="B37" s="16" t="s">
        <v>6</v>
      </c>
      <c r="C37" s="5" t="s">
        <v>50</v>
      </c>
      <c r="D37" s="5">
        <v>26</v>
      </c>
      <c r="E37" s="15">
        <v>0</v>
      </c>
      <c r="F37" s="15">
        <v>0</v>
      </c>
      <c r="G37" s="14">
        <v>0</v>
      </c>
      <c r="J37" s="60"/>
      <c r="K37" s="60"/>
      <c r="L37" s="60"/>
    </row>
    <row r="38" spans="2:12" x14ac:dyDescent="0.25">
      <c r="B38" s="13" t="s">
        <v>6</v>
      </c>
      <c r="C38" s="3" t="s">
        <v>50</v>
      </c>
      <c r="D38" s="3">
        <v>27</v>
      </c>
      <c r="E38" s="18">
        <v>0</v>
      </c>
      <c r="F38" s="18">
        <v>0</v>
      </c>
      <c r="G38" s="17">
        <v>0</v>
      </c>
      <c r="J38" s="60"/>
      <c r="K38" s="60"/>
      <c r="L38" s="60"/>
    </row>
    <row r="39" spans="2:12" x14ac:dyDescent="0.25">
      <c r="B39" s="16" t="s">
        <v>6</v>
      </c>
      <c r="C39" s="5" t="s">
        <v>49</v>
      </c>
      <c r="D39" s="5">
        <v>28</v>
      </c>
      <c r="E39" s="15">
        <v>13.7</v>
      </c>
      <c r="F39" s="15">
        <v>4</v>
      </c>
      <c r="G39" s="14">
        <v>2</v>
      </c>
      <c r="J39" s="60"/>
      <c r="K39" s="60"/>
      <c r="L39" s="60"/>
    </row>
    <row r="40" spans="2:12" x14ac:dyDescent="0.25">
      <c r="B40" s="13" t="s">
        <v>6</v>
      </c>
      <c r="C40" s="3" t="s">
        <v>48</v>
      </c>
      <c r="D40" s="3">
        <v>31</v>
      </c>
      <c r="E40" s="18">
        <v>17.600000000000001</v>
      </c>
      <c r="F40" s="18">
        <v>4</v>
      </c>
      <c r="G40" s="17">
        <v>2</v>
      </c>
      <c r="J40" s="60"/>
      <c r="K40" s="60"/>
      <c r="L40" s="60"/>
    </row>
    <row r="41" spans="2:12" x14ac:dyDescent="0.25">
      <c r="B41" s="16" t="s">
        <v>6</v>
      </c>
      <c r="C41" s="5" t="s">
        <v>48</v>
      </c>
      <c r="D41" s="5">
        <v>32</v>
      </c>
      <c r="E41" s="15">
        <v>20.5</v>
      </c>
      <c r="F41" s="15">
        <v>4</v>
      </c>
      <c r="G41" s="14">
        <v>3</v>
      </c>
      <c r="J41" s="60"/>
      <c r="K41" s="60"/>
      <c r="L41" s="60"/>
    </row>
    <row r="42" spans="2:12" x14ac:dyDescent="0.25">
      <c r="B42" s="13" t="s">
        <v>6</v>
      </c>
      <c r="C42" s="41" t="s">
        <v>47</v>
      </c>
      <c r="D42" s="3">
        <v>33</v>
      </c>
      <c r="E42" s="18">
        <v>22.9</v>
      </c>
      <c r="F42" s="18">
        <v>19</v>
      </c>
      <c r="G42" s="17">
        <v>19</v>
      </c>
      <c r="J42" s="60"/>
      <c r="K42" s="60"/>
      <c r="L42" s="60"/>
    </row>
    <row r="43" spans="2:12" ht="15.75" thickBot="1" x14ac:dyDescent="0.3">
      <c r="B43" s="12" t="s">
        <v>6</v>
      </c>
      <c r="C43" s="11" t="s">
        <v>46</v>
      </c>
      <c r="D43" s="11">
        <v>36</v>
      </c>
      <c r="E43" s="10">
        <v>15.3</v>
      </c>
      <c r="F43" s="10">
        <v>12</v>
      </c>
      <c r="G43" s="9">
        <v>10</v>
      </c>
      <c r="J43" s="59"/>
      <c r="K43" s="59"/>
      <c r="L43" s="59"/>
    </row>
    <row r="44" spans="2:12" x14ac:dyDescent="0.25">
      <c r="J44" s="59"/>
      <c r="K44" s="59"/>
      <c r="L44" s="59"/>
    </row>
    <row r="45" spans="2:12" x14ac:dyDescent="0.25">
      <c r="J45" s="59"/>
      <c r="K45" s="59"/>
      <c r="L45" s="59"/>
    </row>
    <row r="46" spans="2:12" x14ac:dyDescent="0.25">
      <c r="J46" s="59"/>
      <c r="K46" s="59"/>
      <c r="L46" s="59"/>
    </row>
  </sheetData>
  <mergeCells count="2">
    <mergeCell ref="I6:J6"/>
    <mergeCell ref="I7:J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nicio">
                <anchor moveWithCells="1" sizeWithCells="1">
                  <from>
                    <xdr:col>10</xdr:col>
                    <xdr:colOff>19050</xdr:colOff>
                    <xdr:row>6</xdr:row>
                    <xdr:rowOff>38100</xdr:rowOff>
                  </from>
                  <to>
                    <xdr:col>10</xdr:col>
                    <xdr:colOff>1190625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8">
        <x14:dataValidation type="list" allowBlank="1" showInputMessage="1" showErrorMessage="1">
          <x14:formula1>
            <xm:f>'Base de Datos'!$C$5</xm:f>
          </x14:formula1>
          <xm:sqref>C7</xm:sqref>
        </x14:dataValidation>
        <x14:dataValidation type="list" allowBlank="1" showInputMessage="1" showErrorMessage="1">
          <x14:formula1>
            <xm:f>'Base de Datos'!$C$47:$C$49</xm:f>
          </x14:formula1>
          <xm:sqref>C26</xm:sqref>
        </x14:dataValidation>
        <x14:dataValidation type="list" allowBlank="1" showInputMessage="1" showErrorMessage="1">
          <x14:formula1>
            <xm:f>'Base de Datos'!$C$45:$C$46</xm:f>
          </x14:formula1>
          <xm:sqref>C25</xm:sqref>
        </x14:dataValidation>
        <x14:dataValidation type="list" allowBlank="1" showInputMessage="1" showErrorMessage="1">
          <x14:formula1>
            <xm:f>'Base de Datos'!$C$43:$C$44</xm:f>
          </x14:formula1>
          <xm:sqref>C24</xm:sqref>
        </x14:dataValidation>
        <x14:dataValidation type="list" allowBlank="1" showInputMessage="1" showErrorMessage="1">
          <x14:formula1>
            <xm:f>'Base de Datos'!$C$39:$C$42</xm:f>
          </x14:formula1>
          <xm:sqref>C23</xm:sqref>
        </x14:dataValidation>
        <x14:dataValidation type="list" allowBlank="1" showInputMessage="1" showErrorMessage="1">
          <x14:formula1>
            <xm:f>'Base de Datos'!$C$37:$C$38</xm:f>
          </x14:formula1>
          <xm:sqref>C22</xm:sqref>
        </x14:dataValidation>
        <x14:dataValidation type="list" allowBlank="1" showInputMessage="1" showErrorMessage="1">
          <x14:formula1>
            <xm:f>'Base de Datos'!$C$34:$C$36</xm:f>
          </x14:formula1>
          <xm:sqref>C21</xm:sqref>
        </x14:dataValidation>
        <x14:dataValidation type="list" allowBlank="1" showInputMessage="1" showErrorMessage="1">
          <x14:formula1>
            <xm:f>'Base de Datos'!$C$33</xm:f>
          </x14:formula1>
          <xm:sqref>C20</xm:sqref>
        </x14:dataValidation>
        <x14:dataValidation type="list" allowBlank="1" showInputMessage="1" showErrorMessage="1">
          <x14:formula1>
            <xm:f>'Base de Datos'!$C$31:$C$32</xm:f>
          </x14:formula1>
          <xm:sqref>C19</xm:sqref>
        </x14:dataValidation>
        <x14:dataValidation type="list" allowBlank="1" showInputMessage="1" showErrorMessage="1">
          <x14:formula1>
            <xm:f>'Base de Datos'!$C$29:$C$30</xm:f>
          </x14:formula1>
          <xm:sqref>C18</xm:sqref>
        </x14:dataValidation>
        <x14:dataValidation type="list" allowBlank="1" showInputMessage="1" showErrorMessage="1">
          <x14:formula1>
            <xm:f>'Base de Datos'!$C$26:$C$28</xm:f>
          </x14:formula1>
          <xm:sqref>C17</xm:sqref>
        </x14:dataValidation>
        <x14:dataValidation type="list" allowBlank="1" showInputMessage="1" showErrorMessage="1">
          <x14:formula1>
            <xm:f>'Base de Datos'!$C$23:$C$25</xm:f>
          </x14:formula1>
          <xm:sqref>C16</xm:sqref>
        </x14:dataValidation>
        <x14:dataValidation type="list" allowBlank="1" showInputMessage="1" showErrorMessage="1">
          <x14:formula1>
            <xm:f>'Base de Datos'!$C$21:$C$22</xm:f>
          </x14:formula1>
          <xm:sqref>C15</xm:sqref>
        </x14:dataValidation>
        <x14:dataValidation type="list" allowBlank="1" showInputMessage="1" showErrorMessage="1">
          <x14:formula1>
            <xm:f>'Base de Datos'!$C$18:$C$20</xm:f>
          </x14:formula1>
          <xm:sqref>C14</xm:sqref>
        </x14:dataValidation>
        <x14:dataValidation type="list" allowBlank="1" showInputMessage="1" showErrorMessage="1">
          <x14:formula1>
            <xm:f>'Base de Datos'!$C$16:$C$17</xm:f>
          </x14:formula1>
          <xm:sqref>C13</xm:sqref>
        </x14:dataValidation>
        <x14:dataValidation type="list" allowBlank="1" showInputMessage="1" showErrorMessage="1">
          <x14:formula1>
            <xm:f>'Base de Datos'!$C$14:$C$15</xm:f>
          </x14:formula1>
          <xm:sqref>C12</xm:sqref>
        </x14:dataValidation>
        <x14:dataValidation type="list" allowBlank="1" showInputMessage="1" showErrorMessage="1">
          <x14:formula1>
            <xm:f>'Base de Datos'!$C$12:$C$13</xm:f>
          </x14:formula1>
          <xm:sqref>C11</xm:sqref>
        </x14:dataValidation>
        <x14:dataValidation type="list" allowBlank="1" showInputMessage="1" showErrorMessage="1">
          <x14:formula1>
            <xm:f>'Base de Datos'!$C$10:$C$11</xm:f>
          </x14:formula1>
          <xm:sqref>C10</xm:sqref>
        </x14:dataValidation>
        <x14:dataValidation type="list" allowBlank="1" showInputMessage="1" showErrorMessage="1">
          <x14:formula1>
            <xm:f>'Base de Datos'!$C$8:$C$9</xm:f>
          </x14:formula1>
          <xm:sqref>C9</xm:sqref>
        </x14:dataValidation>
        <x14:dataValidation type="list" allowBlank="1" showInputMessage="1" showErrorMessage="1">
          <x14:formula1>
            <xm:f>'Base de Datos'!$C$6:$C$7</xm:f>
          </x14:formula1>
          <xm:sqref>C8</xm:sqref>
        </x14:dataValidation>
        <x14:dataValidation type="list" allowBlank="1" showInputMessage="1" showErrorMessage="1">
          <x14:formula1>
            <xm:f>'Base de Datos'!$C$88:$C$90</xm:f>
          </x14:formula1>
          <xm:sqref>C43</xm:sqref>
        </x14:dataValidation>
        <x14:dataValidation type="list" allowBlank="1" showInputMessage="1" showErrorMessage="1">
          <x14:formula1>
            <xm:f>'Base de Datos'!$C$85:$C$87</xm:f>
          </x14:formula1>
          <xm:sqref>C42</xm:sqref>
        </x14:dataValidation>
        <x14:dataValidation type="list" allowBlank="1" showInputMessage="1" showErrorMessage="1">
          <x14:formula1>
            <xm:f>'Base de Datos'!$C$84</xm:f>
          </x14:formula1>
          <xm:sqref>C41</xm:sqref>
        </x14:dataValidation>
        <x14:dataValidation type="list" allowBlank="1" showInputMessage="1" showErrorMessage="1">
          <x14:formula1>
            <xm:f>'Base de Datos'!$C$82:$C$83</xm:f>
          </x14:formula1>
          <xm:sqref>C40</xm:sqref>
        </x14:dataValidation>
        <x14:dataValidation type="list" allowBlank="1" showInputMessage="1" showErrorMessage="1">
          <x14:formula1>
            <xm:f>'Base de Datos'!$C$80:$C$81</xm:f>
          </x14:formula1>
          <xm:sqref>C39</xm:sqref>
        </x14:dataValidation>
        <x14:dataValidation type="list" allowBlank="1" showInputMessage="1" showErrorMessage="1">
          <x14:formula1>
            <xm:f>'Base de Datos'!$C$78:$C$79</xm:f>
          </x14:formula1>
          <xm:sqref>C38</xm:sqref>
        </x14:dataValidation>
        <x14:dataValidation type="list" allowBlank="1" showInputMessage="1" showErrorMessage="1">
          <x14:formula1>
            <xm:f>'Base de Datos'!$C$77</xm:f>
          </x14:formula1>
          <xm:sqref>C37</xm:sqref>
        </x14:dataValidation>
        <x14:dataValidation type="list" allowBlank="1" showInputMessage="1" showErrorMessage="1">
          <x14:formula1>
            <xm:f>'Base de Datos'!$C$73:$C$76</xm:f>
          </x14:formula1>
          <xm:sqref>C36</xm:sqref>
        </x14:dataValidation>
        <x14:dataValidation type="list" allowBlank="1" showInputMessage="1" showErrorMessage="1">
          <x14:formula1>
            <xm:f>'Base de Datos'!$C$69:$C$72</xm:f>
          </x14:formula1>
          <xm:sqref>C35</xm:sqref>
        </x14:dataValidation>
        <x14:dataValidation type="list" allowBlank="1" showInputMessage="1" showErrorMessage="1">
          <x14:formula1>
            <xm:f>'Base de Datos'!$C$67:$C$68</xm:f>
          </x14:formula1>
          <xm:sqref>C34</xm:sqref>
        </x14:dataValidation>
        <x14:dataValidation type="list" allowBlank="1" showInputMessage="1" showErrorMessage="1">
          <x14:formula1>
            <xm:f>'Base de Datos'!$C$66</xm:f>
          </x14:formula1>
          <xm:sqref>C33</xm:sqref>
        </x14:dataValidation>
        <x14:dataValidation type="list" allowBlank="1" showInputMessage="1" showErrorMessage="1">
          <x14:formula1>
            <xm:f>'Base de Datos'!$C$63:$C$65</xm:f>
          </x14:formula1>
          <xm:sqref>C32</xm:sqref>
        </x14:dataValidation>
        <x14:dataValidation type="list" allowBlank="1" showInputMessage="1" showErrorMessage="1">
          <x14:formula1>
            <xm:f>'Base de Datos'!$C$60:$C$62</xm:f>
          </x14:formula1>
          <xm:sqref>C31</xm:sqref>
        </x14:dataValidation>
        <x14:dataValidation type="list" allowBlank="1" showInputMessage="1" showErrorMessage="1">
          <x14:formula1>
            <xm:f>'Base de Datos'!$C$59</xm:f>
          </x14:formula1>
          <xm:sqref>C30</xm:sqref>
        </x14:dataValidation>
        <x14:dataValidation type="list" allowBlank="1" showInputMessage="1" showErrorMessage="1">
          <x14:formula1>
            <xm:f>'Base de Datos'!$C$58</xm:f>
          </x14:formula1>
          <xm:sqref>C29</xm:sqref>
        </x14:dataValidation>
        <x14:dataValidation type="list" allowBlank="1" showInputMessage="1" showErrorMessage="1">
          <x14:formula1>
            <xm:f>'Base de Datos'!$C$54:$C$57</xm:f>
          </x14:formula1>
          <xm:sqref>C28</xm:sqref>
        </x14:dataValidation>
        <x14:dataValidation type="list" allowBlank="1" showInputMessage="1" showErrorMessage="1">
          <x14:formula1>
            <xm:f>'Base de Datos'!$C$50:$C$53</xm:f>
          </x14:formula1>
          <xm:sqref>C27</xm:sqref>
        </x14:dataValidation>
        <x14:dataValidation type="list" allowBlank="1" showInputMessage="1" showErrorMessage="1">
          <x14:formula1>
            <xm:f>Promedios!$V$46:$V$48</xm:f>
          </x14:formula1>
          <xm:sqref>K6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Z84"/>
  <sheetViews>
    <sheetView zoomScale="80" zoomScaleNormal="80" workbookViewId="0"/>
  </sheetViews>
  <sheetFormatPr baseColWidth="10" defaultRowHeight="15" x14ac:dyDescent="0.25"/>
  <cols>
    <col min="3" max="3" width="32.140625" customWidth="1"/>
    <col min="19" max="19" width="19.140625" bestFit="1" customWidth="1"/>
    <col min="20" max="20" width="22.7109375" bestFit="1" customWidth="1"/>
    <col min="22" max="22" width="14.28515625" bestFit="1" customWidth="1"/>
    <col min="23" max="23" width="13" bestFit="1" customWidth="1"/>
    <col min="25" max="25" width="6.7109375" bestFit="1" customWidth="1"/>
    <col min="26" max="26" width="13" bestFit="1" customWidth="1"/>
  </cols>
  <sheetData>
    <row r="1" spans="2:21" x14ac:dyDescent="0.25">
      <c r="E1" s="1"/>
      <c r="F1" s="1"/>
    </row>
    <row r="2" spans="2:21" x14ac:dyDescent="0.25">
      <c r="E2" s="1"/>
      <c r="F2" s="1"/>
    </row>
    <row r="3" spans="2:21" ht="15.75" thickBot="1" x14ac:dyDescent="0.3"/>
    <row r="4" spans="2:21" ht="75.75" thickBot="1" x14ac:dyDescent="0.3">
      <c r="B4" s="54" t="s">
        <v>13</v>
      </c>
      <c r="C4" s="53" t="s">
        <v>41</v>
      </c>
      <c r="D4" s="53" t="s">
        <v>12</v>
      </c>
      <c r="E4" s="105" t="s">
        <v>11</v>
      </c>
      <c r="F4" s="105" t="s">
        <v>10</v>
      </c>
      <c r="G4" s="105" t="s">
        <v>9</v>
      </c>
      <c r="H4" s="53" t="s">
        <v>40</v>
      </c>
      <c r="I4" s="53" t="s">
        <v>39</v>
      </c>
      <c r="J4" s="53" t="s">
        <v>38</v>
      </c>
      <c r="K4" s="53" t="s">
        <v>37</v>
      </c>
      <c r="L4" s="53" t="s">
        <v>36</v>
      </c>
      <c r="M4" s="53" t="s">
        <v>35</v>
      </c>
      <c r="N4" s="53" t="s">
        <v>34</v>
      </c>
      <c r="O4" s="53" t="s">
        <v>33</v>
      </c>
      <c r="P4" s="53" t="s">
        <v>32</v>
      </c>
      <c r="Q4" s="106" t="s">
        <v>31</v>
      </c>
    </row>
    <row r="5" spans="2:21" x14ac:dyDescent="0.25">
      <c r="B5" s="16" t="s">
        <v>8</v>
      </c>
      <c r="C5" s="5" t="str">
        <f>Aplicación!C7</f>
        <v>-</v>
      </c>
      <c r="D5" s="5">
        <v>1</v>
      </c>
      <c r="E5" s="15">
        <f>Aplicación!E7</f>
        <v>0</v>
      </c>
      <c r="F5" s="15">
        <f>Aplicación!F7</f>
        <v>0</v>
      </c>
      <c r="G5" s="15">
        <f>Aplicación!G7</f>
        <v>0</v>
      </c>
      <c r="H5" s="55">
        <f>VLOOKUP($C5,'Base de Datos'!$C$5:$Q$5,6,FALSE)</f>
        <v>4774</v>
      </c>
      <c r="I5" s="109">
        <f>VLOOKUP($C5,'Base de Datos'!$C$5:$Q$5,7,FALSE)</f>
        <v>68</v>
      </c>
      <c r="J5" s="109">
        <f>VLOOKUP($C5,'Base de Datos'!$C$5:$Q$5,8,FALSE)</f>
        <v>50</v>
      </c>
      <c r="K5" s="109">
        <f>VLOOKUP($C5,'Base de Datos'!$C$5:$Q$5,9,FALSE)</f>
        <v>3</v>
      </c>
      <c r="L5" s="55">
        <f>VLOOKUP($C5,'Base de Datos'!$C$5:$Q$5,10,FALSE)</f>
        <v>1.7</v>
      </c>
      <c r="M5" s="109">
        <f>VLOOKUP($C5,'Base de Datos'!$C$5:$Q$5,11,FALSE)</f>
        <v>1</v>
      </c>
      <c r="N5" s="55">
        <f>VLOOKUP($C5,'Base de Datos'!$C$5:$Q$5,12,FALSE)</f>
        <v>1.3</v>
      </c>
      <c r="O5" s="55">
        <f>VLOOKUP($C5,'Base de Datos'!$C$5:$Q$5,13,FALSE)</f>
        <v>192.5</v>
      </c>
      <c r="P5" s="109">
        <f>VLOOKUP($C5,'Base de Datos'!$C$5:$Q$5,14,FALSE)</f>
        <v>2</v>
      </c>
      <c r="Q5" s="4">
        <f>VLOOKUP($C5,'Base de Datos'!$C$5:$Q$5,15,FALSE)</f>
        <v>90</v>
      </c>
      <c r="T5" s="1"/>
    </row>
    <row r="6" spans="2:21" x14ac:dyDescent="0.25">
      <c r="B6" s="13" t="s">
        <v>8</v>
      </c>
      <c r="C6" s="3" t="str">
        <f>Aplicación!C8</f>
        <v>Envase Colapsable 1.360ml</v>
      </c>
      <c r="D6" s="3" t="s">
        <v>5</v>
      </c>
      <c r="E6" s="3">
        <f>Aplicación!E8</f>
        <v>15.95</v>
      </c>
      <c r="F6" s="3">
        <f>Aplicación!F8</f>
        <v>2.42</v>
      </c>
      <c r="G6" s="3">
        <f>Aplicación!G8</f>
        <v>2.42</v>
      </c>
      <c r="H6" s="3">
        <f>VLOOKUP($C6,'Base de Datos'!$C$6:$Q$7,6,FALSE)</f>
        <v>368.09433962264148</v>
      </c>
      <c r="I6" s="3">
        <f>VLOOKUP($C6,'Base de Datos'!$C$6:$Q$7,7,FALSE)</f>
        <v>68</v>
      </c>
      <c r="J6" s="3">
        <f>VLOOKUP($C6,'Base de Datos'!$C$6:$Q$7,8,FALSE)</f>
        <v>50</v>
      </c>
      <c r="K6" s="3">
        <f>VLOOKUP($C6,'Base de Datos'!$C$6:$Q$7,9,FALSE)</f>
        <v>3</v>
      </c>
      <c r="L6" s="3">
        <f>VLOOKUP($C6,'Base de Datos'!$C$6:$Q$7,10,FALSE)</f>
        <v>4.41</v>
      </c>
      <c r="M6" s="108">
        <f>VLOOKUP($C6,'Base de Datos'!$C$6:$Q$7,11,FALSE)</f>
        <v>1</v>
      </c>
      <c r="N6" s="3">
        <f>VLOOKUP($C6,'Base de Datos'!$C$6:$Q$7,12,FALSE)</f>
        <v>1.4</v>
      </c>
      <c r="O6" s="3">
        <f>VLOOKUP($C6,'Base de Datos'!$C$6:$Q$7,13,FALSE)</f>
        <v>193.5</v>
      </c>
      <c r="P6" s="3">
        <f>VLOOKUP($C6,'Base de Datos'!$C$6:$Q$7,14,FALSE)</f>
        <v>2</v>
      </c>
      <c r="Q6" s="2">
        <f>VLOOKUP($C6,'Base de Datos'!$C$6:$Q$7,15,FALSE)</f>
        <v>90</v>
      </c>
      <c r="T6" s="1"/>
      <c r="U6" s="117"/>
    </row>
    <row r="7" spans="2:21" x14ac:dyDescent="0.25">
      <c r="B7" s="16" t="s">
        <v>8</v>
      </c>
      <c r="C7" s="5" t="str">
        <f>Aplicación!C9</f>
        <v>Envase Salero</v>
      </c>
      <c r="D7" s="5">
        <v>2</v>
      </c>
      <c r="E7" s="5">
        <f>Aplicación!E9</f>
        <v>13</v>
      </c>
      <c r="F7" s="5">
        <f>Aplicación!F9</f>
        <v>1</v>
      </c>
      <c r="G7" s="5">
        <f>Aplicación!G9</f>
        <v>1</v>
      </c>
      <c r="H7" s="5">
        <f>VLOOKUP($C7,'Base de Datos'!$C$8:$Q$9,6,FALSE)</f>
        <v>327.09302325581393</v>
      </c>
      <c r="I7" s="5">
        <f>VLOOKUP($C7,'Base de Datos'!$C$8:$Q$9,7,FALSE)</f>
        <v>30</v>
      </c>
      <c r="J7" s="5">
        <f>VLOOKUP($C7,'Base de Datos'!$C$8:$Q$9,8,FALSE)</f>
        <v>50</v>
      </c>
      <c r="K7" s="5">
        <f>VLOOKUP($C7,'Base de Datos'!$C$8:$Q$9,9,FALSE)</f>
        <v>3</v>
      </c>
      <c r="L7" s="5">
        <f>VLOOKUP($C7,'Base de Datos'!$C$8:$Q$9,10,FALSE)</f>
        <v>4.7</v>
      </c>
      <c r="M7" s="5">
        <f>VLOOKUP($C7,'Base de Datos'!$C$8:$Q$9,11,FALSE)</f>
        <v>1</v>
      </c>
      <c r="N7" s="5">
        <f>VLOOKUP($C7,'Base de Datos'!$C$8:$Q$9,12,FALSE)</f>
        <v>0</v>
      </c>
      <c r="O7" s="5">
        <f>VLOOKUP($C7,'Base de Datos'!$C$8:$Q$9,13,FALSE)</f>
        <v>40</v>
      </c>
      <c r="P7" s="5">
        <f>VLOOKUP($C7,'Base de Datos'!$C$8:$Q$9,14,FALSE)</f>
        <v>2</v>
      </c>
      <c r="Q7" s="4">
        <f>VLOOKUP($C7,'Base de Datos'!$C$8:$Q$9,15,FALSE)</f>
        <v>90</v>
      </c>
      <c r="T7" s="1"/>
      <c r="U7" s="117"/>
    </row>
    <row r="8" spans="2:21" x14ac:dyDescent="0.25">
      <c r="B8" s="13" t="s">
        <v>8</v>
      </c>
      <c r="C8" s="3" t="str">
        <f>Aplicación!C10</f>
        <v xml:space="preserve">Envase lavaloza 100ml </v>
      </c>
      <c r="D8" s="3">
        <v>3</v>
      </c>
      <c r="E8" s="3">
        <f>Aplicación!E10</f>
        <v>0</v>
      </c>
      <c r="F8" s="3">
        <f>Aplicación!F10</f>
        <v>0</v>
      </c>
      <c r="G8" s="3">
        <f>Aplicación!G10</f>
        <v>0</v>
      </c>
      <c r="H8" s="3">
        <f>VLOOKUP($C8,'Base de Datos'!$C$10:$Q$11,6,FALSE)</f>
        <v>132.98387096774192</v>
      </c>
      <c r="I8" s="3">
        <f>VLOOKUP($C8,'Base de Datos'!$C$10:$Q$11,7,FALSE)</f>
        <v>30</v>
      </c>
      <c r="J8" s="3">
        <f>VLOOKUP($C8,'Base de Datos'!$C$10:$Q$11,8,FALSE)</f>
        <v>50</v>
      </c>
      <c r="K8" s="3">
        <f>VLOOKUP($C8,'Base de Datos'!$C$10:$Q$11,9,FALSE)</f>
        <v>3</v>
      </c>
      <c r="L8" s="3">
        <f>VLOOKUP($C8,'Base de Datos'!$C$10:$Q$11,10,FALSE)</f>
        <v>4.4000000000000004</v>
      </c>
      <c r="M8" s="3">
        <f>VLOOKUP($C8,'Base de Datos'!$C$10:$Q$11,11,FALSE)</f>
        <v>1</v>
      </c>
      <c r="N8" s="3">
        <f>VLOOKUP($C8,'Base de Datos'!$C$10:$Q$11,12,FALSE)</f>
        <v>0</v>
      </c>
      <c r="O8" s="3">
        <f>VLOOKUP($C8,'Base de Datos'!$C$10:$Q$11,13,FALSE)</f>
        <v>40</v>
      </c>
      <c r="P8" s="3">
        <f>VLOOKUP($C8,'Base de Datos'!$C$10:$Q$11,14,FALSE)</f>
        <v>2</v>
      </c>
      <c r="Q8" s="2">
        <f>VLOOKUP($C8,'Base de Datos'!$C$10:$Q$11,15,FALSE)</f>
        <v>90</v>
      </c>
      <c r="T8" s="1"/>
      <c r="U8" s="118"/>
    </row>
    <row r="9" spans="2:21" x14ac:dyDescent="0.25">
      <c r="B9" s="16" t="s">
        <v>8</v>
      </c>
      <c r="C9" s="5" t="str">
        <f>Aplicación!C11</f>
        <v xml:space="preserve">Envase Johnson 500ml </v>
      </c>
      <c r="D9" s="5">
        <v>4</v>
      </c>
      <c r="E9" s="5">
        <f>Aplicación!E11</f>
        <v>23</v>
      </c>
      <c r="F9" s="5">
        <f>Aplicación!F11</f>
        <v>1</v>
      </c>
      <c r="G9" s="5">
        <f>Aplicación!G11</f>
        <v>1</v>
      </c>
      <c r="H9" s="5">
        <f>VLOOKUP($C9,'Base de Datos'!$C$12:$Q$13,6,FALSE)</f>
        <v>60.163424124513618</v>
      </c>
      <c r="I9" s="5">
        <f>VLOOKUP($C9,'Base de Datos'!$C$12:$Q$13,7,FALSE)</f>
        <v>30</v>
      </c>
      <c r="J9" s="5">
        <f>VLOOKUP($C9,'Base de Datos'!$C$12:$Q$13,8,FALSE)</f>
        <v>50</v>
      </c>
      <c r="K9" s="5">
        <f>VLOOKUP($C9,'Base de Datos'!$C$12:$Q$13,9,FALSE)</f>
        <v>3</v>
      </c>
      <c r="L9" s="5">
        <f>VLOOKUP($C9,'Base de Datos'!$C$12:$Q$13,10,FALSE)</f>
        <v>4.7</v>
      </c>
      <c r="M9" s="5">
        <f>VLOOKUP($C9,'Base de Datos'!$C$12:$Q$13,11,FALSE)</f>
        <v>1</v>
      </c>
      <c r="N9" s="5">
        <f>VLOOKUP($C9,'Base de Datos'!$C$12:$Q$13,12,FALSE)</f>
        <v>0</v>
      </c>
      <c r="O9" s="5">
        <f>VLOOKUP($C9,'Base de Datos'!$C$12:$Q$13,13,FALSE)</f>
        <v>40</v>
      </c>
      <c r="P9" s="5">
        <f>VLOOKUP($C9,'Base de Datos'!$C$12:$Q$13,14,FALSE)</f>
        <v>2</v>
      </c>
      <c r="Q9" s="4">
        <f>VLOOKUP($C9,'Base de Datos'!$C$12:$Q$13,15,FALSE)</f>
        <v>90</v>
      </c>
    </row>
    <row r="10" spans="2:21" x14ac:dyDescent="0.25">
      <c r="B10" s="13" t="s">
        <v>8</v>
      </c>
      <c r="C10" s="3" t="str">
        <f>Aplicación!C12</f>
        <v>Envase Lustramuebles 250ml</v>
      </c>
      <c r="D10" s="3">
        <v>5</v>
      </c>
      <c r="E10" s="3">
        <f>Aplicación!E12</f>
        <v>16.5</v>
      </c>
      <c r="F10" s="3">
        <f>Aplicación!F12</f>
        <v>2</v>
      </c>
      <c r="G10" s="3">
        <f>Aplicación!G12</f>
        <v>2</v>
      </c>
      <c r="H10" s="3">
        <f>VLOOKUP($C10,'Base de Datos'!$C$14:$Q$15,6,FALSE)</f>
        <v>129.82580645161289</v>
      </c>
      <c r="I10" s="3">
        <f>VLOOKUP($C10,'Base de Datos'!$C$14:$Q$15,7,FALSE)</f>
        <v>30</v>
      </c>
      <c r="J10" s="3">
        <f>VLOOKUP($C10,'Base de Datos'!$C$14:$Q$15,8,FALSE)</f>
        <v>50</v>
      </c>
      <c r="K10" s="3">
        <f>VLOOKUP($C10,'Base de Datos'!$C$14:$Q$15,9,FALSE)</f>
        <v>3</v>
      </c>
      <c r="L10" s="3">
        <f>VLOOKUP($C10,'Base de Datos'!$C$14:$Q$15,10,FALSE)</f>
        <v>4.63</v>
      </c>
      <c r="M10" s="3">
        <f>VLOOKUP($C10,'Base de Datos'!$C$14:$Q$15,11,FALSE)</f>
        <v>1</v>
      </c>
      <c r="N10" s="3">
        <f>VLOOKUP($C10,'Base de Datos'!$C$14:$Q$15,12,FALSE)</f>
        <v>0</v>
      </c>
      <c r="O10" s="3">
        <f>VLOOKUP($C10,'Base de Datos'!$C$14:$Q$15,13,FALSE)</f>
        <v>40</v>
      </c>
      <c r="P10" s="3">
        <f>VLOOKUP($C10,'Base de Datos'!$C$14:$Q$15,14,FALSE)</f>
        <v>2</v>
      </c>
      <c r="Q10" s="2">
        <f>VLOOKUP($C10,'Base de Datos'!$C$14:$Q$15,15,FALSE)</f>
        <v>90</v>
      </c>
    </row>
    <row r="11" spans="2:21" x14ac:dyDescent="0.25">
      <c r="B11" s="16" t="s">
        <v>8</v>
      </c>
      <c r="C11" s="5" t="str">
        <f>Aplicación!C13</f>
        <v>Envase alcohol 500ml</v>
      </c>
      <c r="D11" s="5">
        <v>6</v>
      </c>
      <c r="E11" s="5">
        <f>Aplicación!E13</f>
        <v>15.3</v>
      </c>
      <c r="F11" s="5">
        <f>Aplicación!F13</f>
        <v>2</v>
      </c>
      <c r="G11" s="5">
        <f>Aplicación!G13</f>
        <v>2</v>
      </c>
      <c r="H11" s="5">
        <f>VLOOKUP($C11,'Base de Datos'!$C$16:$Q$17,6,FALSE)</f>
        <v>484.56065573770491</v>
      </c>
      <c r="I11" s="5">
        <f>VLOOKUP($C11,'Base de Datos'!$C$16:$Q$17,7,FALSE)</f>
        <v>30</v>
      </c>
      <c r="J11" s="5">
        <f>VLOOKUP($C11,'Base de Datos'!$C$16:$Q$17,8,FALSE)</f>
        <v>50</v>
      </c>
      <c r="K11" s="5">
        <f>VLOOKUP($C11,'Base de Datos'!$C$16:$Q$17,9,FALSE)</f>
        <v>3</v>
      </c>
      <c r="L11" s="5">
        <f>VLOOKUP($C11,'Base de Datos'!$C$16:$Q$17,10,FALSE)</f>
        <v>5</v>
      </c>
      <c r="M11" s="5">
        <f>VLOOKUP($C11,'Base de Datos'!$C$16:$Q$17,11,FALSE)</f>
        <v>1</v>
      </c>
      <c r="N11" s="5">
        <f>VLOOKUP($C11,'Base de Datos'!$C$16:$Q$17,12,FALSE)</f>
        <v>0</v>
      </c>
      <c r="O11" s="5">
        <f>VLOOKUP($C11,'Base de Datos'!$C$16:$Q$17,13,FALSE)</f>
        <v>40</v>
      </c>
      <c r="P11" s="5">
        <f>VLOOKUP($C11,'Base de Datos'!$C$16:$Q$17,14,FALSE)</f>
        <v>2</v>
      </c>
      <c r="Q11" s="4">
        <f>VLOOKUP($C11,'Base de Datos'!$C$16:$Q$17,15,FALSE)</f>
        <v>90</v>
      </c>
    </row>
    <row r="12" spans="2:21" x14ac:dyDescent="0.25">
      <c r="B12" s="13" t="s">
        <v>8</v>
      </c>
      <c r="C12" s="3" t="str">
        <f>Aplicación!C14</f>
        <v>Envase alcohol 1000ml</v>
      </c>
      <c r="D12" s="3">
        <v>7</v>
      </c>
      <c r="E12" s="3">
        <f>Aplicación!E14</f>
        <v>15.5</v>
      </c>
      <c r="F12" s="3">
        <f>Aplicación!F14</f>
        <v>2</v>
      </c>
      <c r="G12" s="3">
        <f>Aplicación!G14</f>
        <v>2</v>
      </c>
      <c r="H12" s="3">
        <f>VLOOKUP($C12,'Base de Datos'!$C$18:$Q$20,6,FALSE)</f>
        <v>138.90681003584228</v>
      </c>
      <c r="I12" s="3">
        <f>VLOOKUP($C12,'Base de Datos'!$C$18:$Q$20,7,FALSE)</f>
        <v>30</v>
      </c>
      <c r="J12" s="3">
        <f>VLOOKUP($C12,'Base de Datos'!$C$18:$Q$20,8,FALSE)</f>
        <v>50</v>
      </c>
      <c r="K12" s="3">
        <f>VLOOKUP($C12,'Base de Datos'!$C$18:$Q$20,9,FALSE)</f>
        <v>3</v>
      </c>
      <c r="L12" s="3">
        <f>VLOOKUP($C12,'Base de Datos'!$C$18:$Q$20,10,FALSE)</f>
        <v>5.63</v>
      </c>
      <c r="M12" s="3">
        <f>VLOOKUP($C12,'Base de Datos'!$C$18:$Q$20,11,FALSE)</f>
        <v>1</v>
      </c>
      <c r="N12" s="3">
        <f>VLOOKUP($C12,'Base de Datos'!$C$18:$Q$20,12,FALSE)</f>
        <v>0</v>
      </c>
      <c r="O12" s="3">
        <f>VLOOKUP($C12,'Base de Datos'!$C$18:$Q$20,13,FALSE)</f>
        <v>40</v>
      </c>
      <c r="P12" s="3">
        <f>VLOOKUP($C12,'Base de Datos'!$C$18:$Q$20,14,FALSE)</f>
        <v>2</v>
      </c>
      <c r="Q12" s="2">
        <f>VLOOKUP($C12,'Base de Datos'!$C$18:$Q$20,15,FALSE)</f>
        <v>90</v>
      </c>
    </row>
    <row r="13" spans="2:21" x14ac:dyDescent="0.25">
      <c r="B13" s="16" t="s">
        <v>8</v>
      </c>
      <c r="C13" s="5" t="str">
        <f>Aplicación!C15</f>
        <v>Envase salero 500ml natural</v>
      </c>
      <c r="D13" s="5">
        <v>9</v>
      </c>
      <c r="E13" s="5">
        <f>Aplicación!E15</f>
        <v>0</v>
      </c>
      <c r="F13" s="5">
        <f>Aplicación!F15</f>
        <v>0</v>
      </c>
      <c r="G13" s="5">
        <f>Aplicación!G15</f>
        <v>0</v>
      </c>
      <c r="H13" s="5">
        <f>VLOOKUP($C13,'Base de Datos'!$C$21:$Q$22,6,FALSE)</f>
        <v>77.664122137404576</v>
      </c>
      <c r="I13" s="5">
        <f>VLOOKUP($C13,'Base de Datos'!$C$21:$Q$22,7,FALSE)</f>
        <v>30</v>
      </c>
      <c r="J13" s="5">
        <f>VLOOKUP($C13,'Base de Datos'!$C$21:$Q$22,8,FALSE)</f>
        <v>50</v>
      </c>
      <c r="K13" s="5">
        <f>VLOOKUP($C13,'Base de Datos'!$C$21:$Q$22,9,FALSE)</f>
        <v>3</v>
      </c>
      <c r="L13" s="5">
        <f>VLOOKUP($C13,'Base de Datos'!$C$21:$Q$22,10,FALSE)</f>
        <v>7</v>
      </c>
      <c r="M13" s="5">
        <f>VLOOKUP($C13,'Base de Datos'!$C$21:$Q$22,11,FALSE)</f>
        <v>1</v>
      </c>
      <c r="N13" s="5">
        <f>VLOOKUP($C13,'Base de Datos'!$C$21:$Q$22,12,FALSE)</f>
        <v>0</v>
      </c>
      <c r="O13" s="5">
        <f>VLOOKUP($C13,'Base de Datos'!$C$21:$Q$22,13,FALSE)</f>
        <v>40</v>
      </c>
      <c r="P13" s="5">
        <f>VLOOKUP($C13,'Base de Datos'!$C$21:$Q$22,14,FALSE)</f>
        <v>2</v>
      </c>
      <c r="Q13" s="4">
        <f>VLOOKUP($C13,'Base de Datos'!$C$21:$Q$22,15,FALSE)</f>
        <v>90</v>
      </c>
    </row>
    <row r="14" spans="2:21" x14ac:dyDescent="0.25">
      <c r="B14" s="13" t="s">
        <v>7</v>
      </c>
      <c r="C14" s="3" t="str">
        <f>Aplicación!C16</f>
        <v>Envase HF</v>
      </c>
      <c r="D14" s="3">
        <v>9</v>
      </c>
      <c r="E14" s="3">
        <f>Aplicación!E16</f>
        <v>0</v>
      </c>
      <c r="F14" s="3">
        <f>Aplicación!F16</f>
        <v>0</v>
      </c>
      <c r="G14" s="3">
        <f>Aplicación!G16</f>
        <v>0</v>
      </c>
      <c r="H14" s="3">
        <f>VLOOKUP($C14,'Base de Datos'!$C$23:$Q$25,6,FALSE)</f>
        <v>629.92700729927003</v>
      </c>
      <c r="I14" s="3">
        <f>VLOOKUP($C14,'Base de Datos'!$C$23:$Q$25,7,FALSE)</f>
        <v>45</v>
      </c>
      <c r="J14" s="3">
        <f>VLOOKUP($C14,'Base de Datos'!$C$23:$Q$25,8,FALSE)</f>
        <v>50.5</v>
      </c>
      <c r="K14" s="3">
        <f>VLOOKUP($C14,'Base de Datos'!$C$23:$Q$25,9,FALSE)</f>
        <v>2</v>
      </c>
      <c r="L14" s="3">
        <f>VLOOKUP($C14,'Base de Datos'!$C$23:$Q$25,10,FALSE)</f>
        <v>0.5</v>
      </c>
      <c r="M14" s="3">
        <f>VLOOKUP($C14,'Base de Datos'!$C$23:$Q$25,11,FALSE)</f>
        <v>1</v>
      </c>
      <c r="N14" s="3">
        <f>VLOOKUP($C14,'Base de Datos'!$C$23:$Q$25,12,FALSE)</f>
        <v>2</v>
      </c>
      <c r="O14" s="3">
        <f>VLOOKUP($C14,'Base de Datos'!$C$23:$Q$25,13,FALSE)</f>
        <v>50</v>
      </c>
      <c r="P14" s="3">
        <f>VLOOKUP($C14,'Base de Datos'!$C$23:$Q$25,14,FALSE)</f>
        <v>2</v>
      </c>
      <c r="Q14" s="2">
        <f>VLOOKUP($C14,'Base de Datos'!$C$23:$Q$25,15,FALSE)</f>
        <v>90</v>
      </c>
    </row>
    <row r="15" spans="2:21" x14ac:dyDescent="0.25">
      <c r="B15" s="16" t="s">
        <v>7</v>
      </c>
      <c r="C15" s="5" t="str">
        <f>Aplicación!C17</f>
        <v>Envase Gotario</v>
      </c>
      <c r="D15" s="5">
        <v>10</v>
      </c>
      <c r="E15" s="5">
        <f>Aplicación!E17</f>
        <v>16</v>
      </c>
      <c r="F15" s="5">
        <f>Aplicación!F17</f>
        <v>4</v>
      </c>
      <c r="G15" s="5">
        <f>Aplicación!G17</f>
        <v>4</v>
      </c>
      <c r="H15" s="5">
        <f>VLOOKUP($C15,'Base de Datos'!$C$26:$Q$28,6,FALSE)</f>
        <v>456.95652173913044</v>
      </c>
      <c r="I15" s="5">
        <f>VLOOKUP($C15,'Base de Datos'!$C$26:$Q$28,7,FALSE)</f>
        <v>45</v>
      </c>
      <c r="J15" s="5">
        <f>VLOOKUP($C15,'Base de Datos'!$C$26:$Q$28,8,FALSE)</f>
        <v>50.5</v>
      </c>
      <c r="K15" s="5">
        <f>VLOOKUP($C15,'Base de Datos'!$C$26:$Q$28,9,FALSE)</f>
        <v>2</v>
      </c>
      <c r="L15" s="5">
        <f>VLOOKUP($C15,'Base de Datos'!$C$26:$Q$28,10,FALSE)</f>
        <v>0.5</v>
      </c>
      <c r="M15" s="5">
        <f>VLOOKUP($C15,'Base de Datos'!$C$26:$Q$28,11,FALSE)</f>
        <v>1</v>
      </c>
      <c r="N15" s="5">
        <f>VLOOKUP($C15,'Base de Datos'!$C$26:$Q$28,12,FALSE)</f>
        <v>2</v>
      </c>
      <c r="O15" s="5">
        <f>VLOOKUP($C15,'Base de Datos'!$C$26:$Q$28,13,FALSE)</f>
        <v>50</v>
      </c>
      <c r="P15" s="5">
        <f>VLOOKUP($C15,'Base de Datos'!$C$26:$Q$28,14,FALSE)</f>
        <v>2</v>
      </c>
      <c r="Q15" s="4">
        <f>VLOOKUP($C15,'Base de Datos'!$C$26:$Q$28,15,FALSE)</f>
        <v>90</v>
      </c>
    </row>
    <row r="16" spans="2:21" x14ac:dyDescent="0.25">
      <c r="B16" s="13" t="s">
        <v>7</v>
      </c>
      <c r="C16" s="3" t="str">
        <f>Aplicación!C18</f>
        <v>Envase PTS 110ml</v>
      </c>
      <c r="D16" s="3">
        <v>29</v>
      </c>
      <c r="E16" s="3">
        <f>Aplicación!E18</f>
        <v>16.5</v>
      </c>
      <c r="F16" s="3">
        <f>Aplicación!F18</f>
        <v>3</v>
      </c>
      <c r="G16" s="3">
        <f>Aplicación!G18</f>
        <v>3</v>
      </c>
      <c r="H16" s="3">
        <f>VLOOKUP($C16,'Base de Datos'!$C$29:$Q$30,6,FALSE)</f>
        <v>461.42307692307691</v>
      </c>
      <c r="I16" s="3">
        <f>VLOOKUP($C16,'Base de Datos'!$C$29:$Q$30,7,FALSE)</f>
        <v>45</v>
      </c>
      <c r="J16" s="3">
        <f>VLOOKUP($C16,'Base de Datos'!$C$29:$Q$30,8,FALSE)</f>
        <v>50.5</v>
      </c>
      <c r="K16" s="3">
        <f>VLOOKUP($C16,'Base de Datos'!$C$29:$Q$30,9,FALSE)</f>
        <v>2</v>
      </c>
      <c r="L16" s="3">
        <f>VLOOKUP($C16,'Base de Datos'!$C$29:$Q$30,10,FALSE)</f>
        <v>0.5</v>
      </c>
      <c r="M16" s="3">
        <f>VLOOKUP($C16,'Base de Datos'!$C$29:$Q$30,11,FALSE)</f>
        <v>1</v>
      </c>
      <c r="N16" s="3">
        <f>VLOOKUP($C16,'Base de Datos'!$C$29:$Q$30,12,FALSE)</f>
        <v>2</v>
      </c>
      <c r="O16" s="3">
        <f>VLOOKUP($C16,'Base de Datos'!$C$29:$Q$30,13,FALSE)</f>
        <v>50</v>
      </c>
      <c r="P16" s="3">
        <f>VLOOKUP($C16,'Base de Datos'!$C$29:$Q$30,14,FALSE)</f>
        <v>2</v>
      </c>
      <c r="Q16" s="2">
        <f>VLOOKUP($C16,'Base de Datos'!$C$29:$Q$30,15,FALSE)</f>
        <v>90</v>
      </c>
    </row>
    <row r="17" spans="2:17" x14ac:dyDescent="0.25">
      <c r="B17" s="16" t="s">
        <v>7</v>
      </c>
      <c r="C17" s="5" t="str">
        <f>Aplicación!C19</f>
        <v>Envase POTE</v>
      </c>
      <c r="D17" s="5">
        <v>34</v>
      </c>
      <c r="E17" s="5">
        <f>Aplicación!E19</f>
        <v>13.5</v>
      </c>
      <c r="F17" s="5">
        <f>Aplicación!F19</f>
        <v>3</v>
      </c>
      <c r="G17" s="5">
        <f>Aplicación!G19</f>
        <v>3</v>
      </c>
      <c r="H17" s="5">
        <f>VLOOKUP($C17,'Base de Datos'!$C$31:$Q$32,6,FALSE)</f>
        <v>412.4590163934426</v>
      </c>
      <c r="I17" s="5">
        <f>VLOOKUP($C17,'Base de Datos'!$C$31:$Q$32,7,FALSE)</f>
        <v>45</v>
      </c>
      <c r="J17" s="5">
        <f>VLOOKUP($C17,'Base de Datos'!$C$31:$Q$32,8,FALSE)</f>
        <v>50.5</v>
      </c>
      <c r="K17" s="5">
        <f>VLOOKUP($C17,'Base de Datos'!$C$31:$Q$32,9,FALSE)</f>
        <v>2</v>
      </c>
      <c r="L17" s="5">
        <f>VLOOKUP($C17,'Base de Datos'!$C$31:$Q$32,10,FALSE)</f>
        <v>0.5</v>
      </c>
      <c r="M17" s="5">
        <f>VLOOKUP($C17,'Base de Datos'!$C$31:$Q$32,11,FALSE)</f>
        <v>1</v>
      </c>
      <c r="N17" s="5">
        <f>VLOOKUP($C17,'Base de Datos'!$C$31:$Q$32,12,FALSE)</f>
        <v>2</v>
      </c>
      <c r="O17" s="5">
        <f>VLOOKUP($C17,'Base de Datos'!$C$31:$Q$32,13,FALSE)</f>
        <v>50</v>
      </c>
      <c r="P17" s="5">
        <f>VLOOKUP($C17,'Base de Datos'!$C$31:$Q$32,14,FALSE)</f>
        <v>2</v>
      </c>
      <c r="Q17" s="4">
        <f>VLOOKUP($C17,'Base de Datos'!$C$31:$Q$32,15,FALSE)</f>
        <v>90</v>
      </c>
    </row>
    <row r="18" spans="2:17" x14ac:dyDescent="0.25">
      <c r="B18" s="13" t="s">
        <v>7</v>
      </c>
      <c r="C18" s="3" t="str">
        <f>Aplicación!C20</f>
        <v>Envase Paltomiel 200 ml</v>
      </c>
      <c r="D18" s="3">
        <v>35</v>
      </c>
      <c r="E18" s="3">
        <f>Aplicación!E20</f>
        <v>15.5</v>
      </c>
      <c r="F18" s="3">
        <f>Aplicación!F20</f>
        <v>2</v>
      </c>
      <c r="G18" s="3">
        <f>Aplicación!G20</f>
        <v>2</v>
      </c>
      <c r="H18" s="3">
        <f>VLOOKUP($C18,'Base de Datos'!$C$33:$Q$33,6,FALSE)</f>
        <v>317.92857142857144</v>
      </c>
      <c r="I18" s="3">
        <f>VLOOKUP($C18,'Base de Datos'!$C$33:$Q$33,7,FALSE)</f>
        <v>45</v>
      </c>
      <c r="J18" s="3">
        <f>VLOOKUP($C18,'Base de Datos'!$C$33:$Q$33,8,FALSE)</f>
        <v>50.5</v>
      </c>
      <c r="K18" s="3">
        <f>VLOOKUP($C18,'Base de Datos'!$C$33:$Q$33,9,FALSE)</f>
        <v>2</v>
      </c>
      <c r="L18" s="3">
        <f>VLOOKUP($C18,'Base de Datos'!$C$33:$Q$33,10,FALSE)</f>
        <v>0.5</v>
      </c>
      <c r="M18" s="3">
        <f>VLOOKUP($C18,'Base de Datos'!$C$33:$Q$33,11,FALSE)</f>
        <v>1</v>
      </c>
      <c r="N18" s="3">
        <f>VLOOKUP($C18,'Base de Datos'!$C$33:$Q$33,12,FALSE)</f>
        <v>2</v>
      </c>
      <c r="O18" s="3">
        <f>VLOOKUP($C18,'Base de Datos'!$C$33:$Q$33,13,FALSE)</f>
        <v>50</v>
      </c>
      <c r="P18" s="3">
        <f>VLOOKUP($C18,'Base de Datos'!$C$33:$Q$33,14,FALSE)</f>
        <v>2</v>
      </c>
      <c r="Q18" s="2">
        <f>VLOOKUP($C18,'Base de Datos'!$C$33:$Q$33,15,FALSE)</f>
        <v>90</v>
      </c>
    </row>
    <row r="19" spans="2:17" x14ac:dyDescent="0.25">
      <c r="B19" s="16" t="s">
        <v>6</v>
      </c>
      <c r="C19" s="5" t="str">
        <f>Aplicación!C21</f>
        <v>Tapa Jano</v>
      </c>
      <c r="D19" s="5" t="s">
        <v>5</v>
      </c>
      <c r="E19" s="5">
        <f>Aplicación!E21</f>
        <v>20.2</v>
      </c>
      <c r="F19" s="5">
        <f>Aplicación!F21</f>
        <v>8</v>
      </c>
      <c r="G19" s="5">
        <f>Aplicación!G21</f>
        <v>7</v>
      </c>
      <c r="H19" s="5">
        <f>VLOOKUP($C19,'Base de Datos'!$C$34:$Q$36,6,FALSE)</f>
        <v>10308.898305084746</v>
      </c>
      <c r="I19" s="5">
        <f>VLOOKUP($C19,'Base de Datos'!$C$34:$Q$36,7,FALSE)</f>
        <v>45</v>
      </c>
      <c r="J19" s="5">
        <f>VLOOKUP($C19,'Base de Datos'!$C$34:$Q$36,8,FALSE)</f>
        <v>84</v>
      </c>
      <c r="K19" s="5">
        <f>VLOOKUP($C19,'Base de Datos'!$C$34:$Q$36,9,FALSE)</f>
        <v>7</v>
      </c>
      <c r="L19" s="5">
        <f>VLOOKUP($C19,'Base de Datos'!$C$34:$Q$36,10,FALSE)</f>
        <v>1.6</v>
      </c>
      <c r="M19" s="5">
        <f>VLOOKUP($C19,'Base de Datos'!$C$34:$Q$36,11,FALSE)</f>
        <v>1</v>
      </c>
      <c r="N19" s="5">
        <f>VLOOKUP($C19,'Base de Datos'!$C$34:$Q$36,12,FALSE)</f>
        <v>0</v>
      </c>
      <c r="O19" s="5">
        <f>VLOOKUP($C19,'Base de Datos'!$C$34:$Q$36,13,FALSE)</f>
        <v>40</v>
      </c>
      <c r="P19" s="5">
        <f>VLOOKUP($C19,'Base de Datos'!$C$34:$Q$36,14,FALSE)</f>
        <v>2</v>
      </c>
      <c r="Q19" s="4">
        <f>VLOOKUP($C19,'Base de Datos'!$C$34:$Q$36,15,FALSE)</f>
        <v>90</v>
      </c>
    </row>
    <row r="20" spans="2:17" x14ac:dyDescent="0.25">
      <c r="B20" s="13" t="s">
        <v>6</v>
      </c>
      <c r="C20" s="3" t="str">
        <f>Aplicación!C22</f>
        <v>Tapa Colapsable</v>
      </c>
      <c r="D20" s="3">
        <v>2</v>
      </c>
      <c r="E20" s="3">
        <f>Aplicación!E22</f>
        <v>18.8</v>
      </c>
      <c r="F20" s="3">
        <f>Aplicación!F22</f>
        <v>10</v>
      </c>
      <c r="G20" s="3">
        <f>Aplicación!G22</f>
        <v>9</v>
      </c>
      <c r="H20" s="3">
        <f>VLOOKUP($C20,'Base de Datos'!$C$37:$Q$38,6,FALSE)</f>
        <v>7318.4615384615381</v>
      </c>
      <c r="I20" s="3">
        <f>VLOOKUP($C20,'Base de Datos'!$C$37:$Q$38,7,FALSE)</f>
        <v>45</v>
      </c>
      <c r="J20" s="3">
        <f>VLOOKUP($C20,'Base de Datos'!$C$37:$Q$38,8,FALSE)</f>
        <v>84</v>
      </c>
      <c r="K20" s="3">
        <f>VLOOKUP($C20,'Base de Datos'!$C$37:$Q$38,9,FALSE)</f>
        <v>3</v>
      </c>
      <c r="L20" s="3">
        <f>VLOOKUP($C20,'Base de Datos'!$C$37:$Q$38,10,FALSE)</f>
        <v>6</v>
      </c>
      <c r="M20" s="3">
        <f>VLOOKUP($C20,'Base de Datos'!$C$37:$Q$38,11,FALSE)</f>
        <v>8</v>
      </c>
      <c r="N20" s="3">
        <f>VLOOKUP($C20,'Base de Datos'!$C$37:$Q$38,12,FALSE)</f>
        <v>0</v>
      </c>
      <c r="O20" s="3">
        <f>VLOOKUP($C20,'Base de Datos'!$C$37:$Q$38,13,FALSE)</f>
        <v>40</v>
      </c>
      <c r="P20" s="3">
        <f>VLOOKUP($C20,'Base de Datos'!$C$37:$Q$38,14,FALSE)</f>
        <v>3</v>
      </c>
      <c r="Q20" s="2">
        <f>VLOOKUP($C20,'Base de Datos'!$C$37:$Q$38,15,FALSE)</f>
        <v>90</v>
      </c>
    </row>
    <row r="21" spans="2:17" x14ac:dyDescent="0.25">
      <c r="B21" s="16" t="s">
        <v>6</v>
      </c>
      <c r="C21" s="5" t="str">
        <f>Aplicación!C23</f>
        <v>Hombro Doy-pack</v>
      </c>
      <c r="D21" s="5">
        <v>3</v>
      </c>
      <c r="E21" s="5">
        <f>Aplicación!E23</f>
        <v>18.2</v>
      </c>
      <c r="F21" s="5">
        <f>Aplicación!F23</f>
        <v>6</v>
      </c>
      <c r="G21" s="5">
        <f>Aplicación!G23</f>
        <v>6</v>
      </c>
      <c r="H21" s="5">
        <f>VLOOKUP($C21,'Base de Datos'!$C$39:$Q$42,6,FALSE)</f>
        <v>3587.5</v>
      </c>
      <c r="I21" s="5">
        <f>VLOOKUP($C21,'Base de Datos'!$C$39:$Q$42,7,FALSE)</f>
        <v>45</v>
      </c>
      <c r="J21" s="5">
        <f>VLOOKUP($C21,'Base de Datos'!$C$39:$Q$42,8,FALSE)</f>
        <v>84</v>
      </c>
      <c r="K21" s="5">
        <f>VLOOKUP($C21,'Base de Datos'!$C$39:$Q$42,9,FALSE)</f>
        <v>3</v>
      </c>
      <c r="L21" s="5">
        <f>VLOOKUP($C21,'Base de Datos'!$C$39:$Q$42,10,FALSE)</f>
        <v>6</v>
      </c>
      <c r="M21" s="5">
        <f>VLOOKUP($C21,'Base de Datos'!$C$39:$Q$42,11,FALSE)</f>
        <v>17</v>
      </c>
      <c r="N21" s="5">
        <f>VLOOKUP($C21,'Base de Datos'!$C$39:$Q$42,12,FALSE)</f>
        <v>0</v>
      </c>
      <c r="O21" s="5">
        <f>VLOOKUP($C21,'Base de Datos'!$C$39:$Q$42,13,FALSE)</f>
        <v>40</v>
      </c>
      <c r="P21" s="5">
        <f>VLOOKUP($C21,'Base de Datos'!$C$39:$Q$42,14,FALSE)</f>
        <v>2</v>
      </c>
      <c r="Q21" s="4">
        <f>VLOOKUP($C21,'Base de Datos'!$C$39:$Q$42,15,FALSE)</f>
        <v>90</v>
      </c>
    </row>
    <row r="22" spans="2:17" x14ac:dyDescent="0.25">
      <c r="B22" s="13" t="s">
        <v>6</v>
      </c>
      <c r="C22" s="3" t="str">
        <f>Aplicación!C24</f>
        <v>Tapa Doy-Pack</v>
      </c>
      <c r="D22" s="3">
        <v>4</v>
      </c>
      <c r="E22" s="3">
        <f>Aplicación!E24</f>
        <v>21.6</v>
      </c>
      <c r="F22" s="3">
        <f>Aplicación!F24</f>
        <v>12</v>
      </c>
      <c r="G22" s="3">
        <f>Aplicación!G24</f>
        <v>11</v>
      </c>
      <c r="H22" s="3">
        <f>VLOOKUP($C22,'Base de Datos'!$C$43:$Q$44,6,FALSE)</f>
        <v>6000</v>
      </c>
      <c r="I22" s="3">
        <f>VLOOKUP($C22,'Base de Datos'!$C$43:$Q$44,7,FALSE)</f>
        <v>45</v>
      </c>
      <c r="J22" s="3">
        <f>VLOOKUP($C22,'Base de Datos'!$C$43:$Q$44,8,FALSE)</f>
        <v>84</v>
      </c>
      <c r="K22" s="3">
        <f>VLOOKUP($C22,'Base de Datos'!$C$43:$Q$44,9,FALSE)</f>
        <v>3</v>
      </c>
      <c r="L22" s="3">
        <f>VLOOKUP($C22,'Base de Datos'!$C$43:$Q$44,10,FALSE)</f>
        <v>6</v>
      </c>
      <c r="M22" s="3">
        <f>VLOOKUP($C22,'Base de Datos'!$C$43:$Q$44,11,FALSE)</f>
        <v>17</v>
      </c>
      <c r="N22" s="3">
        <f>VLOOKUP($C22,'Base de Datos'!$C$43:$Q$44,12,FALSE)</f>
        <v>0</v>
      </c>
      <c r="O22" s="3">
        <f>VLOOKUP($C22,'Base de Datos'!$C$43:$Q$44,13,FALSE)</f>
        <v>40</v>
      </c>
      <c r="P22" s="3">
        <f>VLOOKUP($C22,'Base de Datos'!$C$43:$Q$44,14,FALSE)</f>
        <v>4</v>
      </c>
      <c r="Q22" s="2">
        <f>VLOOKUP($C22,'Base de Datos'!$C$43:$Q$44,15,FALSE)</f>
        <v>90</v>
      </c>
    </row>
    <row r="23" spans="2:17" x14ac:dyDescent="0.25">
      <c r="B23" s="16" t="s">
        <v>6</v>
      </c>
      <c r="C23" s="5" t="str">
        <f>Aplicación!C25</f>
        <v>Tapa Lavaloza</v>
      </c>
      <c r="D23" s="5">
        <v>5</v>
      </c>
      <c r="E23" s="5">
        <f>Aplicación!E25</f>
        <v>30.1</v>
      </c>
      <c r="F23" s="5">
        <f>Aplicación!F25</f>
        <v>12</v>
      </c>
      <c r="G23" s="5">
        <f>Aplicación!G25</f>
        <v>9</v>
      </c>
      <c r="H23" s="5">
        <f>VLOOKUP($C23,'Base de Datos'!$C$45:$Q$46,6,FALSE)</f>
        <v>1716.8478260869565</v>
      </c>
      <c r="I23" s="5">
        <f>VLOOKUP($C23,'Base de Datos'!$C$45:$Q$46,7,FALSE)</f>
        <v>45</v>
      </c>
      <c r="J23" s="5">
        <f>VLOOKUP($C23,'Base de Datos'!$C$45:$Q$46,8,FALSE)</f>
        <v>84</v>
      </c>
      <c r="K23" s="5">
        <f>VLOOKUP($C23,'Base de Datos'!$C$45:$Q$46,9,FALSE)</f>
        <v>3</v>
      </c>
      <c r="L23" s="5">
        <f>VLOOKUP($C23,'Base de Datos'!$C$45:$Q$46,10,FALSE)</f>
        <v>4.5999999999999996</v>
      </c>
      <c r="M23" s="5">
        <f>VLOOKUP($C23,'Base de Datos'!$C$45:$Q$46,11,FALSE)</f>
        <v>10</v>
      </c>
      <c r="N23" s="5">
        <f>VLOOKUP($C23,'Base de Datos'!$C$45:$Q$46,12,FALSE)</f>
        <v>0</v>
      </c>
      <c r="O23" s="5">
        <f>VLOOKUP($C23,'Base de Datos'!$C$45:$Q$46,13,FALSE)</f>
        <v>40</v>
      </c>
      <c r="P23" s="5">
        <f>VLOOKUP($C23,'Base de Datos'!$C$45:$Q$46,14,FALSE)</f>
        <v>3</v>
      </c>
      <c r="Q23" s="4">
        <f>VLOOKUP($C23,'Base de Datos'!$C$45:$Q$46,15,FALSE)</f>
        <v>90</v>
      </c>
    </row>
    <row r="24" spans="2:17" x14ac:dyDescent="0.25">
      <c r="B24" s="13" t="s">
        <v>6</v>
      </c>
      <c r="C24" s="3" t="str">
        <f>Aplicación!C26</f>
        <v>Tapa Gotario</v>
      </c>
      <c r="D24" s="3">
        <v>6</v>
      </c>
      <c r="E24" s="3">
        <f>Aplicación!E26</f>
        <v>32.700000000000003</v>
      </c>
      <c r="F24" s="3">
        <f>Aplicación!F26</f>
        <v>8</v>
      </c>
      <c r="G24" s="3">
        <f>Aplicación!G26</f>
        <v>6</v>
      </c>
      <c r="H24" s="3">
        <f>VLOOKUP($C24,'Base de Datos'!$C$47:$Q$49,6,FALSE)</f>
        <v>1481.0204081632653</v>
      </c>
      <c r="I24" s="3">
        <f>VLOOKUP($C24,'Base de Datos'!$C$47:$Q$49,7,FALSE)</f>
        <v>45</v>
      </c>
      <c r="J24" s="3">
        <f>VLOOKUP($C24,'Base de Datos'!$C$47:$Q$49,8,FALSE)</f>
        <v>84</v>
      </c>
      <c r="K24" s="3">
        <f>VLOOKUP($C24,'Base de Datos'!$C$47:$Q$49,9,FALSE)</f>
        <v>4</v>
      </c>
      <c r="L24" s="3">
        <f>VLOOKUP($C24,'Base de Datos'!$C$47:$Q$49,10,FALSE)</f>
        <v>2</v>
      </c>
      <c r="M24" s="3">
        <f>VLOOKUP($C24,'Base de Datos'!$C$47:$Q$49,11,FALSE)</f>
        <v>3</v>
      </c>
      <c r="N24" s="3">
        <f>VLOOKUP($C24,'Base de Datos'!$C$47:$Q$49,12,FALSE)</f>
        <v>0</v>
      </c>
      <c r="O24" s="3">
        <f>VLOOKUP($C24,'Base de Datos'!$C$47:$Q$49,13,FALSE)</f>
        <v>40</v>
      </c>
      <c r="P24" s="3">
        <f>VLOOKUP($C24,'Base de Datos'!$C$47:$Q$49,14,FALSE)</f>
        <v>2</v>
      </c>
      <c r="Q24" s="2">
        <f>VLOOKUP($C24,'Base de Datos'!$C$47:$Q$49,15,FALSE)</f>
        <v>90</v>
      </c>
    </row>
    <row r="25" spans="2:17" x14ac:dyDescent="0.25">
      <c r="B25" s="16" t="s">
        <v>6</v>
      </c>
      <c r="C25" s="5" t="str">
        <f>Aplicación!C27</f>
        <v>Tapa D-32</v>
      </c>
      <c r="D25" s="5">
        <v>7</v>
      </c>
      <c r="E25" s="5">
        <f>Aplicación!E27</f>
        <v>26</v>
      </c>
      <c r="F25" s="5">
        <f>Aplicación!F27</f>
        <v>6</v>
      </c>
      <c r="G25" s="5">
        <f>Aplicación!G27</f>
        <v>3</v>
      </c>
      <c r="H25" s="5">
        <f>VLOOKUP($C25,'Base de Datos'!$C$50:$Q$53,6,FALSE)</f>
        <v>3198.3922829581993</v>
      </c>
      <c r="I25" s="5">
        <f>VLOOKUP($C25,'Base de Datos'!$C$50:$Q$53,7,FALSE)</f>
        <v>45</v>
      </c>
      <c r="J25" s="5">
        <f>VLOOKUP($C25,'Base de Datos'!$C$50:$Q$53,8,FALSE)</f>
        <v>84</v>
      </c>
      <c r="K25" s="5">
        <f>VLOOKUP($C25,'Base de Datos'!$C$50:$Q$53,9,FALSE)</f>
        <v>3</v>
      </c>
      <c r="L25" s="5">
        <f>VLOOKUP($C25,'Base de Datos'!$C$50:$Q$53,10,FALSE)</f>
        <v>1.5</v>
      </c>
      <c r="M25" s="5">
        <f>VLOOKUP($C25,'Base de Datos'!$C$50:$Q$53,11,FALSE)</f>
        <v>3</v>
      </c>
      <c r="N25" s="5">
        <f>VLOOKUP($C25,'Base de Datos'!$C$50:$Q$53,12,FALSE)</f>
        <v>0</v>
      </c>
      <c r="O25" s="5">
        <f>VLOOKUP($C25,'Base de Datos'!$C$50:$Q$53,13,FALSE)</f>
        <v>40</v>
      </c>
      <c r="P25" s="5">
        <f>VLOOKUP($C25,'Base de Datos'!$C$50:$Q$53,14,FALSE)</f>
        <v>4</v>
      </c>
      <c r="Q25" s="4">
        <f>VLOOKUP($C25,'Base de Datos'!$C$50:$Q$53,15,FALSE)</f>
        <v>90</v>
      </c>
    </row>
    <row r="26" spans="2:17" x14ac:dyDescent="0.25">
      <c r="B26" s="13" t="s">
        <v>6</v>
      </c>
      <c r="C26" s="3" t="str">
        <f>Aplicación!C28</f>
        <v>Hombro Doy-pack Frontal</v>
      </c>
      <c r="D26" s="3">
        <v>8</v>
      </c>
      <c r="E26" s="3">
        <f>Aplicación!E28</f>
        <v>10.8</v>
      </c>
      <c r="F26" s="3">
        <f>Aplicación!F28</f>
        <v>12</v>
      </c>
      <c r="G26" s="3">
        <f>Aplicación!G28</f>
        <v>4</v>
      </c>
      <c r="H26" s="3">
        <f>VLOOKUP($C26,'Base de Datos'!$C$54:$Q$57,6,FALSE)</f>
        <v>3289.0510948905107</v>
      </c>
      <c r="I26" s="3">
        <f>VLOOKUP($C26,'Base de Datos'!$C$54:$Q$57,7,FALSE)</f>
        <v>45</v>
      </c>
      <c r="J26" s="3">
        <f>VLOOKUP($C26,'Base de Datos'!$C$54:$Q$57,8,FALSE)</f>
        <v>84</v>
      </c>
      <c r="K26" s="3">
        <f>VLOOKUP($C26,'Base de Datos'!$C$54:$Q$57,9,FALSE)</f>
        <v>3</v>
      </c>
      <c r="L26" s="3">
        <f>VLOOKUP($C26,'Base de Datos'!$C$54:$Q$57,10,FALSE)</f>
        <v>4.5999999999999996</v>
      </c>
      <c r="M26" s="3">
        <f>VLOOKUP($C26,'Base de Datos'!$C$54:$Q$57,11,FALSE)</f>
        <v>10</v>
      </c>
      <c r="N26" s="3">
        <f>VLOOKUP($C26,'Base de Datos'!$C$54:$Q$57,12,FALSE)</f>
        <v>0</v>
      </c>
      <c r="O26" s="3">
        <f>VLOOKUP($C26,'Base de Datos'!$C$54:$Q$57,13,FALSE)</f>
        <v>40</v>
      </c>
      <c r="P26" s="3">
        <f>VLOOKUP($C26,'Base de Datos'!$C$54:$Q$57,14,FALSE)</f>
        <v>3</v>
      </c>
      <c r="Q26" s="2">
        <f>VLOOKUP($C26,'Base de Datos'!$C$54:$Q$57,15,FALSE)</f>
        <v>90</v>
      </c>
    </row>
    <row r="27" spans="2:17" x14ac:dyDescent="0.25">
      <c r="B27" s="16" t="s">
        <v>6</v>
      </c>
      <c r="C27" s="5" t="str">
        <f>Aplicación!C29</f>
        <v>-</v>
      </c>
      <c r="D27" s="5">
        <v>11</v>
      </c>
      <c r="E27" s="5">
        <f>Aplicación!E29</f>
        <v>0</v>
      </c>
      <c r="F27" s="5">
        <f>Aplicación!F29</f>
        <v>0</v>
      </c>
      <c r="G27" s="5">
        <f>Aplicación!G29</f>
        <v>0</v>
      </c>
      <c r="H27" s="5">
        <f>VLOOKUP($C27,'Base de Datos'!$C$58:$Q$58,6,FALSE)</f>
        <v>6278.5714285714284</v>
      </c>
      <c r="I27" s="5">
        <f>VLOOKUP($C27,'Base de Datos'!$C$58:$Q$581,7,FALSE)</f>
        <v>45</v>
      </c>
      <c r="J27" s="5">
        <f>VLOOKUP($C27,'Base de Datos'!$C$58:$Q$58,8,FALSE)</f>
        <v>84</v>
      </c>
      <c r="K27" s="5">
        <f>VLOOKUP($C27,'Base de Datos'!$C$58:$Q$58,9,FALSE)</f>
        <v>3</v>
      </c>
      <c r="L27" s="5">
        <f>VLOOKUP($C27,'Base de Datos'!$C$58:$Q$58,10,FALSE)</f>
        <v>5</v>
      </c>
      <c r="M27" s="5">
        <f>VLOOKUP($C27,'Base de Datos'!$C$58:$Q$58,11,FALSE)</f>
        <v>15</v>
      </c>
      <c r="N27" s="5">
        <f>VLOOKUP($C27,'Base de Datos'!$C$58:$Q$58,12,FALSE)</f>
        <v>0</v>
      </c>
      <c r="O27" s="5">
        <f>VLOOKUP($C27,'Base de Datos'!$C$58:$Q$58,13,FALSE)</f>
        <v>40</v>
      </c>
      <c r="P27" s="5">
        <f>VLOOKUP($C27,'Base de Datos'!$C$58:$Q$58,14,FALSE)</f>
        <v>2</v>
      </c>
      <c r="Q27" s="4">
        <f>VLOOKUP($C27,'Base de Datos'!$C$58:$Q$58,15,FALSE)</f>
        <v>90</v>
      </c>
    </row>
    <row r="28" spans="2:17" x14ac:dyDescent="0.25">
      <c r="B28" s="13" t="s">
        <v>6</v>
      </c>
      <c r="C28" s="3" t="str">
        <f>Aplicación!C30</f>
        <v>Tapa Lustramuebles</v>
      </c>
      <c r="D28" s="3">
        <v>12</v>
      </c>
      <c r="E28" s="3">
        <f>Aplicación!E30</f>
        <v>21.9</v>
      </c>
      <c r="F28" s="3">
        <f>Aplicación!F30</f>
        <v>4</v>
      </c>
      <c r="G28" s="3">
        <f>Aplicación!G30</f>
        <v>4</v>
      </c>
      <c r="H28" s="3">
        <f>VLOOKUP($C28,'Base de Datos'!$C$59:$Q$59,6,FALSE)</f>
        <v>3171.7857142857142</v>
      </c>
      <c r="I28" s="3">
        <f>VLOOKUP($C28,'Base de Datos'!$C$59:$Q$59,7,FALSE)</f>
        <v>45</v>
      </c>
      <c r="J28" s="3">
        <f>VLOOKUP($C28,'Base de Datos'!$C$59:$Q$59,8,FALSE)</f>
        <v>84</v>
      </c>
      <c r="K28" s="3">
        <f>VLOOKUP($C28,'Base de Datos'!$C$59:$Q$59,9,FALSE)</f>
        <v>3</v>
      </c>
      <c r="L28" s="3">
        <f>VLOOKUP($C28,'Base de Datos'!$C$59:$Q$59,10,FALSE)</f>
        <v>1.2</v>
      </c>
      <c r="M28" s="3">
        <f>VLOOKUP($C28,'Base de Datos'!$C$59:$Q$59,11,FALSE)</f>
        <v>1</v>
      </c>
      <c r="N28" s="3">
        <f>VLOOKUP($C28,'Base de Datos'!$C$59:$Q$59,12,FALSE)</f>
        <v>0</v>
      </c>
      <c r="O28" s="3">
        <f>VLOOKUP($C28,'Base de Datos'!$C$59:$Q$59,13,FALSE)</f>
        <v>40</v>
      </c>
      <c r="P28" s="3">
        <f>VLOOKUP($C28,'Base de Datos'!$C$59:$Q$59,14,FALSE)</f>
        <v>2</v>
      </c>
      <c r="Q28" s="2">
        <f>VLOOKUP($C28,'Base de Datos'!$C$59:$Q$59,15,FALSE)</f>
        <v>90</v>
      </c>
    </row>
    <row r="29" spans="2:17" x14ac:dyDescent="0.25">
      <c r="B29" s="16" t="s">
        <v>6</v>
      </c>
      <c r="C29" s="5" t="str">
        <f>Aplicación!C31</f>
        <v xml:space="preserve">Tapa D-11 </v>
      </c>
      <c r="D29" s="5">
        <v>15</v>
      </c>
      <c r="E29" s="5">
        <f>Aplicación!E31</f>
        <v>0</v>
      </c>
      <c r="F29" s="5">
        <f>Aplicación!F31</f>
        <v>0</v>
      </c>
      <c r="G29" s="5">
        <f>Aplicación!G31</f>
        <v>0</v>
      </c>
      <c r="H29" s="5">
        <f>VLOOKUP($C29,'Base de Datos'!$C$60:$Q$62,6,FALSE)</f>
        <v>2244.7674418604652</v>
      </c>
      <c r="I29" s="5">
        <f>VLOOKUP($C29,'Base de Datos'!$C$60:$Q$62,7,FALSE)</f>
        <v>45</v>
      </c>
      <c r="J29" s="5">
        <f>VLOOKUP($C29,'Base de Datos'!$C$60:$Q$62,8,FALSE)</f>
        <v>84</v>
      </c>
      <c r="K29" s="5">
        <f>VLOOKUP($C29,'Base de Datos'!$C$60:$Q$62,9,FALSE)</f>
        <v>3</v>
      </c>
      <c r="L29" s="5">
        <f>VLOOKUP($C29,'Base de Datos'!$C$60:$Q$62,10,FALSE)</f>
        <v>1.5</v>
      </c>
      <c r="M29" s="5">
        <f>VLOOKUP($C29,'Base de Datos'!$C$60:$Q$62,11,FALSE)</f>
        <v>1</v>
      </c>
      <c r="N29" s="5">
        <f>VLOOKUP($C29,'Base de Datos'!$C$60:$Q$62,12,FALSE)</f>
        <v>0</v>
      </c>
      <c r="O29" s="5">
        <f>VLOOKUP($C29,'Base de Datos'!$C$60:$Q$62,13,FALSE)</f>
        <v>40</v>
      </c>
      <c r="P29" s="5">
        <f>VLOOKUP($C29,'Base de Datos'!$C$60:$Q$62,14,FALSE)</f>
        <v>2</v>
      </c>
      <c r="Q29" s="4">
        <f>VLOOKUP($C29,'Base de Datos'!$C$60:$Q$62,15,FALSE)</f>
        <v>90</v>
      </c>
    </row>
    <row r="30" spans="2:17" x14ac:dyDescent="0.25">
      <c r="B30" s="13" t="s">
        <v>6</v>
      </c>
      <c r="C30" s="3" t="str">
        <f>Aplicación!C32</f>
        <v>Rapa R-76 Roja</v>
      </c>
      <c r="D30" s="3">
        <v>16</v>
      </c>
      <c r="E30" s="3">
        <f>Aplicación!E32</f>
        <v>0</v>
      </c>
      <c r="F30" s="3">
        <f>Aplicación!F32</f>
        <v>0</v>
      </c>
      <c r="G30" s="3">
        <f>Aplicación!G32</f>
        <v>0</v>
      </c>
      <c r="H30" s="3">
        <f>VLOOKUP($C30,'Base de Datos'!$C$63:$Q$65,6,FALSE)</f>
        <v>5010.8108108108108</v>
      </c>
      <c r="I30" s="3">
        <f>VLOOKUP($C30,'Base de Datos'!$C$63:$Q$65,7,FALSE)</f>
        <v>45</v>
      </c>
      <c r="J30" s="3">
        <f>VLOOKUP($C30,'Base de Datos'!$C$63:$Q$65,8,FALSE)</f>
        <v>84</v>
      </c>
      <c r="K30" s="3">
        <f>VLOOKUP($C30,'Base de Datos'!$C$63:$Q$65,9,FALSE)</f>
        <v>3</v>
      </c>
      <c r="L30" s="3">
        <f>VLOOKUP($C30,'Base de Datos'!$C$63:$Q$65,10,FALSE)</f>
        <v>1.3</v>
      </c>
      <c r="M30" s="3">
        <f>VLOOKUP($C30,'Base de Datos'!$C$63:$Q$65,11,FALSE)</f>
        <v>1</v>
      </c>
      <c r="N30" s="3">
        <f>VLOOKUP($C30,'Base de Datos'!$C$63:$Q$65,12,FALSE)</f>
        <v>0</v>
      </c>
      <c r="O30" s="3">
        <f>VLOOKUP($C30,'Base de Datos'!$C$63:$Q$65,13,FALSE)</f>
        <v>40</v>
      </c>
      <c r="P30" s="3">
        <f>VLOOKUP($C30,'Base de Datos'!$C$63:$Q$65,14,FALSE)</f>
        <v>2</v>
      </c>
      <c r="Q30" s="2">
        <f>VLOOKUP($C30,'Base de Datos'!$C$63:$Q$65,15,FALSE)</f>
        <v>90</v>
      </c>
    </row>
    <row r="31" spans="2:17" x14ac:dyDescent="0.25">
      <c r="B31" s="16" t="s">
        <v>6</v>
      </c>
      <c r="C31" s="5" t="str">
        <f>Aplicación!C33</f>
        <v>Tapa D-73</v>
      </c>
      <c r="D31" s="5">
        <v>18</v>
      </c>
      <c r="E31" s="5">
        <f>Aplicación!E33</f>
        <v>0</v>
      </c>
      <c r="F31" s="5">
        <f>Aplicación!F33</f>
        <v>0</v>
      </c>
      <c r="G31" s="5">
        <f>Aplicación!G33</f>
        <v>0</v>
      </c>
      <c r="H31" s="5">
        <f>VLOOKUP($C31,'Base de Datos'!$C$66:$Q$66,6,FALSE)</f>
        <v>3415.1056910569105</v>
      </c>
      <c r="I31" s="5">
        <f>VLOOKUP($C31,'Base de Datos'!$C$66:$Q$66,7,FALSE)</f>
        <v>45</v>
      </c>
      <c r="J31" s="5">
        <f>VLOOKUP($C31,'Base de Datos'!$C$66:$Q$66,8,FALSE)</f>
        <v>84</v>
      </c>
      <c r="K31" s="5">
        <f>VLOOKUP($C31,'Base de Datos'!$C$66:$Q$66,9,FALSE)</f>
        <v>3</v>
      </c>
      <c r="L31" s="5">
        <f>VLOOKUP($C31,'Base de Datos'!$C$66:$Q$66,10,FALSE)</f>
        <v>2</v>
      </c>
      <c r="M31" s="5">
        <f>VLOOKUP($C31,'Base de Datos'!$C$66:$Q$66,11,FALSE)</f>
        <v>1</v>
      </c>
      <c r="N31" s="5">
        <f>VLOOKUP($C31,'Base de Datos'!$C$66:$Q$66,12,FALSE)</f>
        <v>0.115</v>
      </c>
      <c r="O31" s="5">
        <f>VLOOKUP($C31,'Base de Datos'!$C$66:$Q$66,13,FALSE)</f>
        <v>40</v>
      </c>
      <c r="P31" s="5">
        <f>VLOOKUP($C31,'Base de Datos'!$C$66:$Q$66,14,FALSE)</f>
        <v>2</v>
      </c>
      <c r="Q31" s="4">
        <f>VLOOKUP($C31,'Base de Datos'!$C$66:$Q$66,15,FALSE)</f>
        <v>90</v>
      </c>
    </row>
    <row r="32" spans="2:17" x14ac:dyDescent="0.25">
      <c r="B32" s="13" t="s">
        <v>6</v>
      </c>
      <c r="C32" s="3" t="str">
        <f>Aplicación!C34</f>
        <v>Tapa Betun</v>
      </c>
      <c r="D32" s="3">
        <v>19</v>
      </c>
      <c r="E32" s="3">
        <f>Aplicación!E34</f>
        <v>0</v>
      </c>
      <c r="F32" s="3">
        <f>Aplicación!F34</f>
        <v>0</v>
      </c>
      <c r="G32" s="3">
        <f>Aplicación!G34</f>
        <v>0</v>
      </c>
      <c r="H32" s="3">
        <f>VLOOKUP($C32,'Base de Datos'!$C$67:$Q$68,6,FALSE)</f>
        <v>2005.1886792452831</v>
      </c>
      <c r="I32" s="3">
        <f>VLOOKUP($C32,'Base de Datos'!$C$67:$Q$68,7,FALSE)</f>
        <v>45</v>
      </c>
      <c r="J32" s="3">
        <f>VLOOKUP($C32,'Base de Datos'!$C$67:$Q$68,8,FALSE)</f>
        <v>84</v>
      </c>
      <c r="K32" s="3">
        <f>VLOOKUP($C32,'Base de Datos'!$C$67:$Q$68,9,FALSE)</f>
        <v>3</v>
      </c>
      <c r="L32" s="3">
        <f>VLOOKUP($C32,'Base de Datos'!$C$67:$Q$68,10,FALSE)</f>
        <v>1.3</v>
      </c>
      <c r="M32" s="3">
        <f>VLOOKUP($C32,'Base de Datos'!$C$67:$Q$68,11,FALSE)</f>
        <v>1</v>
      </c>
      <c r="N32" s="3">
        <f>VLOOKUP($C32,'Base de Datos'!$C$67:$Q$68,12,FALSE)</f>
        <v>0</v>
      </c>
      <c r="O32" s="3">
        <f>VLOOKUP($C32,'Base de Datos'!$C$67:$Q$68,13,FALSE)</f>
        <v>40</v>
      </c>
      <c r="P32" s="3">
        <f>VLOOKUP($C32,'Base de Datos'!$C$67:$Q$68,14,FALSE)</f>
        <v>2</v>
      </c>
      <c r="Q32" s="2">
        <f>VLOOKUP($C32,'Base de Datos'!$C$67:$Q$68,15,FALSE)</f>
        <v>90</v>
      </c>
    </row>
    <row r="33" spans="2:26" x14ac:dyDescent="0.25">
      <c r="B33" s="16" t="s">
        <v>6</v>
      </c>
      <c r="C33" s="5" t="str">
        <f>Aplicación!C35</f>
        <v>Tapa 22-Verde</v>
      </c>
      <c r="D33" s="5">
        <v>20</v>
      </c>
      <c r="E33" s="5">
        <f>Aplicación!E35</f>
        <v>0</v>
      </c>
      <c r="F33" s="5">
        <f>Aplicación!F35</f>
        <v>0</v>
      </c>
      <c r="G33" s="5">
        <f>Aplicación!G35</f>
        <v>0</v>
      </c>
      <c r="H33" s="5">
        <f>VLOOKUP($C33,'Base de Datos'!$C$69:$Q$72,6,FALSE)</f>
        <v>12508.938547486034</v>
      </c>
      <c r="I33" s="5">
        <f>VLOOKUP($C33,'Base de Datos'!$C$69:$Q$72,7,FALSE)</f>
        <v>45</v>
      </c>
      <c r="J33" s="5">
        <f>VLOOKUP($C33,'Base de Datos'!$C$69:$Q$72,8,FALSE)</f>
        <v>84</v>
      </c>
      <c r="K33" s="5">
        <f>VLOOKUP($C33,'Base de Datos'!$C$69:$Q$72,9,FALSE)</f>
        <v>3</v>
      </c>
      <c r="L33" s="5">
        <f>VLOOKUP($C33,'Base de Datos'!$C$69:$Q$72,10,FALSE)</f>
        <v>1.5</v>
      </c>
      <c r="M33" s="5">
        <f>VLOOKUP($C33,'Base de Datos'!$C$69:$Q$72,11,FALSE)</f>
        <v>1</v>
      </c>
      <c r="N33" s="5">
        <f>VLOOKUP($C33,'Base de Datos'!$C$69:$Q$72,12,FALSE)</f>
        <v>0</v>
      </c>
      <c r="O33" s="5">
        <f>VLOOKUP($C33,'Base de Datos'!$C$69:$Q$72,13,FALSE)</f>
        <v>40</v>
      </c>
      <c r="P33" s="5">
        <f>VLOOKUP($C33,'Base de Datos'!$C$69:$Q$72,14,FALSE)</f>
        <v>1</v>
      </c>
      <c r="Q33" s="4">
        <f>VLOOKUP($C33,'Base de Datos'!$C$69:$Q$72,15,FALSE)</f>
        <v>90</v>
      </c>
    </row>
    <row r="34" spans="2:26" x14ac:dyDescent="0.25">
      <c r="B34" s="13" t="s">
        <v>6</v>
      </c>
      <c r="C34" s="3" t="str">
        <f>Aplicación!C36</f>
        <v>PB3</v>
      </c>
      <c r="D34" s="3">
        <v>25</v>
      </c>
      <c r="E34" s="3">
        <f>Aplicación!E36</f>
        <v>18</v>
      </c>
      <c r="F34" s="3">
        <f>Aplicación!F36</f>
        <v>4</v>
      </c>
      <c r="G34" s="3">
        <f>Aplicación!G36</f>
        <v>2</v>
      </c>
      <c r="H34" s="3">
        <f>VLOOKUP($C34,'Base de Datos'!$C$73:$Q$76,6,FALSE)</f>
        <v>846.31578947368416</v>
      </c>
      <c r="I34" s="3">
        <f>VLOOKUP($C34,'Base de Datos'!$C$73:$Q$76,7,FALSE)</f>
        <v>45</v>
      </c>
      <c r="J34" s="3">
        <f>VLOOKUP($C34,'Base de Datos'!$C$73:$Q$76,8,FALSE)</f>
        <v>84</v>
      </c>
      <c r="K34" s="3">
        <f>VLOOKUP($C34,'Base de Datos'!$C$73:$Q$76,9,FALSE)</f>
        <v>7</v>
      </c>
      <c r="L34" s="3">
        <f>VLOOKUP($C34,'Base de Datos'!$C$73:$Q$76,10,FALSE)</f>
        <v>1.65</v>
      </c>
      <c r="M34" s="3">
        <f>VLOOKUP($C34,'Base de Datos'!$C$73:$Q$76,11,FALSE)</f>
        <v>1</v>
      </c>
      <c r="N34" s="3">
        <f>VLOOKUP($C34,'Base de Datos'!$C$73:$Q$76,12,FALSE)</f>
        <v>0.36916666666666664</v>
      </c>
      <c r="O34" s="3">
        <f>VLOOKUP($C34,'Base de Datos'!$C$73:$Q$76,13,FALSE)</f>
        <v>40</v>
      </c>
      <c r="P34" s="3">
        <f>VLOOKUP($C34,'Base de Datos'!$C$73:$Q$76,14,FALSE)</f>
        <v>2</v>
      </c>
      <c r="Q34" s="2">
        <f>VLOOKUP($C34,'Base de Datos'!$C$73:$Q$76,15,FALSE)</f>
        <v>90</v>
      </c>
    </row>
    <row r="35" spans="2:26" x14ac:dyDescent="0.25">
      <c r="B35" s="16" t="s">
        <v>6</v>
      </c>
      <c r="C35" s="5" t="str">
        <f>Aplicación!C37</f>
        <v>PB4</v>
      </c>
      <c r="D35" s="5">
        <v>26</v>
      </c>
      <c r="E35" s="5">
        <f>Aplicación!E37</f>
        <v>0</v>
      </c>
      <c r="F35" s="5">
        <f>Aplicación!F37</f>
        <v>0</v>
      </c>
      <c r="G35" s="5">
        <f>Aplicación!G37</f>
        <v>0</v>
      </c>
      <c r="H35" s="5">
        <f>VLOOKUP($C35,'Base de Datos'!$C$77:$Q$77,6,FALSE)</f>
        <v>2452.246376811594</v>
      </c>
      <c r="I35" s="5">
        <f>VLOOKUP($C35,'Base de Datos'!$C$77:$Q$77,7,FALSE)</f>
        <v>45</v>
      </c>
      <c r="J35" s="5">
        <f>VLOOKUP($C35,'Base de Datos'!$C$77:$Q$77,8,FALSE)</f>
        <v>84</v>
      </c>
      <c r="K35" s="5">
        <f>VLOOKUP($C35,'Base de Datos'!$C$77:$Q$77,9,FALSE)</f>
        <v>7</v>
      </c>
      <c r="L35" s="5">
        <f>VLOOKUP($C35,'Base de Datos'!$C$77:$Q$77,10,FALSE)</f>
        <v>1.65</v>
      </c>
      <c r="M35" s="5">
        <f>VLOOKUP($C35,'Base de Datos'!$C$77:$Q$77,11,FALSE)</f>
        <v>1</v>
      </c>
      <c r="N35" s="5">
        <f>VLOOKUP($C35,'Base de Datos'!$C$77:$Q$77,12,FALSE)</f>
        <v>0.36916666666666664</v>
      </c>
      <c r="O35" s="5">
        <f>VLOOKUP($C35,'Base de Datos'!$C$77:$Q$77,13,FALSE)</f>
        <v>40</v>
      </c>
      <c r="P35" s="5">
        <f>VLOOKUP($C35,'Base de Datos'!$C$77:$Q$77,14,FALSE)</f>
        <v>2</v>
      </c>
      <c r="Q35" s="4">
        <f>VLOOKUP($C35,'Base de Datos'!$C$77:$Q$77,15,FALSE)</f>
        <v>90</v>
      </c>
    </row>
    <row r="36" spans="2:26" x14ac:dyDescent="0.25">
      <c r="B36" s="13" t="s">
        <v>6</v>
      </c>
      <c r="C36" s="3" t="str">
        <f>Aplicación!C38</f>
        <v>PB4</v>
      </c>
      <c r="D36" s="3">
        <v>27</v>
      </c>
      <c r="E36" s="3">
        <f>Aplicación!E38</f>
        <v>0</v>
      </c>
      <c r="F36" s="3">
        <f>Aplicación!F38</f>
        <v>0</v>
      </c>
      <c r="G36" s="3">
        <f>Aplicación!G38</f>
        <v>0</v>
      </c>
      <c r="H36" s="3">
        <f>VLOOKUP($C36,'Base de Datos'!$C$78:$Q$79,6,FALSE)</f>
        <v>1267.2857142857142</v>
      </c>
      <c r="I36" s="3">
        <f>VLOOKUP($C36,'Base de Datos'!$C$78:$Q$79,7,FALSE)</f>
        <v>45</v>
      </c>
      <c r="J36" s="3">
        <f>VLOOKUP($C36,'Base de Datos'!$C$78:$Q$79,8,FALSE)</f>
        <v>84</v>
      </c>
      <c r="K36" s="3">
        <f>VLOOKUP($C36,'Base de Datos'!$C$78:$Q$79,9,FALSE)</f>
        <v>7</v>
      </c>
      <c r="L36" s="3">
        <f>VLOOKUP($C36,'Base de Datos'!$C$78:$Q$79,10,FALSE)</f>
        <v>1.65</v>
      </c>
      <c r="M36" s="3">
        <f>VLOOKUP($C36,'Base de Datos'!$C$78:$Q$79,11,FALSE)</f>
        <v>1</v>
      </c>
      <c r="N36" s="3">
        <f>VLOOKUP($C36,'Base de Datos'!$C$78:$Q$79,12,FALSE)</f>
        <v>0.36916666666666664</v>
      </c>
      <c r="O36" s="3">
        <f>VLOOKUP($C36,'Base de Datos'!$C$78:$Q$79,13,FALSE)</f>
        <v>40</v>
      </c>
      <c r="P36" s="3">
        <f>VLOOKUP($C36,'Base de Datos'!$C$78:$Q$79,14,FALSE)</f>
        <v>2</v>
      </c>
      <c r="Q36" s="2">
        <f>VLOOKUP($C36,'Base de Datos'!$C$78:$Q$79,15,FALSE)</f>
        <v>90</v>
      </c>
    </row>
    <row r="37" spans="2:26" x14ac:dyDescent="0.25">
      <c r="B37" s="16" t="s">
        <v>6</v>
      </c>
      <c r="C37" s="5" t="str">
        <f>Aplicación!C39</f>
        <v>Tapa 38</v>
      </c>
      <c r="D37" s="5">
        <v>28</v>
      </c>
      <c r="E37" s="5">
        <f>Aplicación!E39</f>
        <v>13.7</v>
      </c>
      <c r="F37" s="5">
        <f>Aplicación!F39</f>
        <v>4</v>
      </c>
      <c r="G37" s="5">
        <f>Aplicación!G39</f>
        <v>2</v>
      </c>
      <c r="H37" s="5">
        <f>VLOOKUP($C37,'Base de Datos'!$C$80:$Q$81,6,FALSE)</f>
        <v>1593.5566502463055</v>
      </c>
      <c r="I37" s="5">
        <f>VLOOKUP($C37,'Base de Datos'!$C$80:$Q$81,7,FALSE)</f>
        <v>45</v>
      </c>
      <c r="J37" s="5">
        <f>VLOOKUP($C37,'Base de Datos'!$C$80:$Q$81,8,FALSE)</f>
        <v>60</v>
      </c>
      <c r="K37" s="5">
        <f>VLOOKUP($C37,'Base de Datos'!$C$80:$Q$81,9,FALSE)</f>
        <v>7</v>
      </c>
      <c r="L37" s="5">
        <f>VLOOKUP($C37,'Base de Datos'!$C$80:$Q$81,10,FALSE)</f>
        <v>1.3</v>
      </c>
      <c r="M37" s="5">
        <f>VLOOKUP($C37,'Base de Datos'!$C$80:$Q$81,11,FALSE)</f>
        <v>1</v>
      </c>
      <c r="N37" s="5">
        <f>VLOOKUP($C37,'Base de Datos'!$C$80:$Q$81,12,FALSE)</f>
        <v>0</v>
      </c>
      <c r="O37" s="5">
        <f>VLOOKUP($C37,'Base de Datos'!$C$80:$Q$81,13,FALSE)</f>
        <v>40</v>
      </c>
      <c r="P37" s="5">
        <f>VLOOKUP($C37,'Base de Datos'!$C$80:$Q$81,14,FALSE)</f>
        <v>2</v>
      </c>
      <c r="Q37" s="4">
        <f>VLOOKUP($C37,'Base de Datos'!$C$80:$Q$81,15,FALSE)</f>
        <v>90</v>
      </c>
    </row>
    <row r="38" spans="2:26" x14ac:dyDescent="0.25">
      <c r="B38" s="13" t="s">
        <v>6</v>
      </c>
      <c r="C38" s="3" t="str">
        <f>Aplicación!C40</f>
        <v>Tapa D-99</v>
      </c>
      <c r="D38" s="3">
        <v>31</v>
      </c>
      <c r="E38" s="3">
        <f>Aplicación!E40</f>
        <v>17.600000000000001</v>
      </c>
      <c r="F38" s="3">
        <f>Aplicación!F40</f>
        <v>4</v>
      </c>
      <c r="G38" s="3">
        <f>Aplicación!G40</f>
        <v>2</v>
      </c>
      <c r="H38" s="3">
        <f>VLOOKUP($C38,'Base de Datos'!$C$82:$Q$83,6,FALSE)</f>
        <v>913.9212598425197</v>
      </c>
      <c r="I38" s="3">
        <f>VLOOKUP($C38,'Base de Datos'!$C$82:$Q$83,7,FALSE)</f>
        <v>45</v>
      </c>
      <c r="J38" s="3">
        <f>VLOOKUP($C38,'Base de Datos'!$C$82:$Q$83,8,FALSE)</f>
        <v>84</v>
      </c>
      <c r="K38" s="3">
        <f>VLOOKUP($C38,'Base de Datos'!$C$82:$Q$83,9,FALSE)</f>
        <v>4</v>
      </c>
      <c r="L38" s="3">
        <f>VLOOKUP($C38,'Base de Datos'!$C$82:$Q$83,10,FALSE)</f>
        <v>1.54</v>
      </c>
      <c r="M38" s="3">
        <f>VLOOKUP($C38,'Base de Datos'!$C$82:$Q$83,11,FALSE)</f>
        <v>1</v>
      </c>
      <c r="N38" s="3">
        <f>VLOOKUP($C38,'Base de Datos'!$C$82:$Q$83,12,FALSE)</f>
        <v>0.12938888888888889</v>
      </c>
      <c r="O38" s="3">
        <f>VLOOKUP($C38,'Base de Datos'!$C$82:$Q$83,13,FALSE)</f>
        <v>40</v>
      </c>
      <c r="P38" s="3">
        <f>VLOOKUP($C38,'Base de Datos'!$C$82:$Q$83,14,FALSE)</f>
        <v>2</v>
      </c>
      <c r="Q38" s="2">
        <f>VLOOKUP($C38,'Base de Datos'!$C$82:$Q$83,15,FALSE)</f>
        <v>90</v>
      </c>
    </row>
    <row r="39" spans="2:26" x14ac:dyDescent="0.25">
      <c r="B39" s="16" t="s">
        <v>6</v>
      </c>
      <c r="C39" s="5" t="str">
        <f>Aplicación!C41</f>
        <v>Tapa D-99</v>
      </c>
      <c r="D39" s="5">
        <v>32</v>
      </c>
      <c r="E39" s="5">
        <f>Aplicación!E41</f>
        <v>20.5</v>
      </c>
      <c r="F39" s="5">
        <f>Aplicación!F41</f>
        <v>4</v>
      </c>
      <c r="G39" s="5">
        <f>Aplicación!G41</f>
        <v>3</v>
      </c>
      <c r="H39" s="5">
        <f>VLOOKUP($C39,'Base de Datos'!$C$84:$Q$84,6,FALSE)</f>
        <v>1050.8187919463087</v>
      </c>
      <c r="I39" s="5">
        <f>VLOOKUP($C39,'Base de Datos'!$C$84:$Q$84,7,FALSE)</f>
        <v>45</v>
      </c>
      <c r="J39" s="5">
        <f>VLOOKUP($C39,'Base de Datos'!$C$84:$Q$84,8,FALSE)</f>
        <v>84</v>
      </c>
      <c r="K39" s="5">
        <f>VLOOKUP($C39,'Base de Datos'!$C$84:$Q$84,9,FALSE)</f>
        <v>4</v>
      </c>
      <c r="L39" s="5">
        <f>VLOOKUP($C39,'Base de Datos'!$C$84:$Q$84,10,FALSE)</f>
        <v>1.54</v>
      </c>
      <c r="M39" s="5">
        <f>VLOOKUP($C39,'Base de Datos'!$C$84:$Q$84,11,FALSE)</f>
        <v>1</v>
      </c>
      <c r="N39" s="5">
        <f>VLOOKUP($C39,'Base de Datos'!$C$84:$Q$84,12,FALSE)</f>
        <v>0.12938888888888889</v>
      </c>
      <c r="O39" s="5">
        <f>VLOOKUP($C39,'Base de Datos'!$C$84:$Q$84,13,FALSE)</f>
        <v>40</v>
      </c>
      <c r="P39" s="5">
        <f>VLOOKUP($C39,'Base de Datos'!$C$84:$Q$84,14,FALSE)</f>
        <v>2</v>
      </c>
      <c r="Q39" s="4">
        <f>VLOOKUP($C39,'Base de Datos'!$C$84:$Q$84,15,FALSE)</f>
        <v>90</v>
      </c>
    </row>
    <row r="40" spans="2:26" x14ac:dyDescent="0.25">
      <c r="B40" s="13" t="s">
        <v>6</v>
      </c>
      <c r="C40" s="3" t="str">
        <f>Aplicación!C42</f>
        <v>Tapa Snap</v>
      </c>
      <c r="D40" s="3">
        <v>33</v>
      </c>
      <c r="E40" s="3">
        <f>Aplicación!E42</f>
        <v>22.9</v>
      </c>
      <c r="F40" s="3">
        <f>Aplicación!F42</f>
        <v>19</v>
      </c>
      <c r="G40" s="3">
        <f>Aplicación!G42</f>
        <v>19</v>
      </c>
      <c r="H40" s="3">
        <f>VLOOKUP($C40,'Base de Datos'!$C$85:$Q$87,6,FALSE)</f>
        <v>1000</v>
      </c>
      <c r="I40" s="3">
        <f>VLOOKUP($C40,'Base de Datos'!$C$85:$Q$87,7,FALSE)</f>
        <v>45</v>
      </c>
      <c r="J40" s="3">
        <f>VLOOKUP($C40,'Base de Datos'!$C$85:$Q$87,8,FALSE)</f>
        <v>84</v>
      </c>
      <c r="K40" s="3">
        <f>VLOOKUP($C40,'Base de Datos'!$C$85:$Q$87,9,FALSE)</f>
        <v>4</v>
      </c>
      <c r="L40" s="3">
        <f>VLOOKUP($C40,'Base de Datos'!$C$85:$Q$87,10,FALSE)</f>
        <v>1.5</v>
      </c>
      <c r="M40" s="3">
        <f>VLOOKUP($C40,'Base de Datos'!$C$85:$Q$87,11,FALSE)</f>
        <v>3</v>
      </c>
      <c r="N40" s="3">
        <f>VLOOKUP($C40,'Base de Datos'!$C$85:$Q$87,12,FALSE)</f>
        <v>0</v>
      </c>
      <c r="O40" s="3">
        <f>VLOOKUP($C40,'Base de Datos'!$C$85:$Q$87,13,FALSE)</f>
        <v>40</v>
      </c>
      <c r="P40" s="3">
        <f>VLOOKUP($C40,'Base de Datos'!$C$85:$Q$87,14,FALSE)</f>
        <v>2</v>
      </c>
      <c r="Q40" s="2">
        <f>VLOOKUP($C40,'Base de Datos'!$C$85:$Q$87,15,FALSE)</f>
        <v>90</v>
      </c>
    </row>
    <row r="41" spans="2:26" ht="15.75" thickBot="1" x14ac:dyDescent="0.3">
      <c r="B41" s="12" t="s">
        <v>6</v>
      </c>
      <c r="C41" s="11" t="str">
        <f>Aplicación!C43</f>
        <v>PB-7</v>
      </c>
      <c r="D41" s="11">
        <v>36</v>
      </c>
      <c r="E41" s="11">
        <f>Aplicación!E43</f>
        <v>15.3</v>
      </c>
      <c r="F41" s="11">
        <f>Aplicación!F43</f>
        <v>12</v>
      </c>
      <c r="G41" s="11">
        <f>Aplicación!G43</f>
        <v>10</v>
      </c>
      <c r="H41" s="11">
        <f>VLOOKUP($C41,'Base de Datos'!$C$88:$Q$90,6,FALSE)</f>
        <v>3047.4181818181819</v>
      </c>
      <c r="I41" s="11">
        <f>VLOOKUP($C41,'Base de Datos'!$C$88:$Q$90,7,FALSE)</f>
        <v>45</v>
      </c>
      <c r="J41" s="11">
        <f>VLOOKUP($C41,'Base de Datos'!$C$88:$Q$90,8,FALSE)</f>
        <v>84</v>
      </c>
      <c r="K41" s="11">
        <f>VLOOKUP($C41,'Base de Datos'!$C$88:$Q$90,9,FALSE)</f>
        <v>4</v>
      </c>
      <c r="L41" s="11">
        <f>VLOOKUP($C41,'Base de Datos'!$C$88:$Q$90,10,FALSE)</f>
        <v>1.65</v>
      </c>
      <c r="M41" s="11">
        <f>VLOOKUP($C41,'Base de Datos'!$C$88:$Q$90,11,FALSE)</f>
        <v>1</v>
      </c>
      <c r="N41" s="11">
        <f>VLOOKUP($C41,'Base de Datos'!$C$88:$Q$90,12,FALSE)</f>
        <v>0.36916666666666664</v>
      </c>
      <c r="O41" s="11">
        <f>VLOOKUP($C41,'Base de Datos'!$C$88:$Q$90,13,FALSE)</f>
        <v>40</v>
      </c>
      <c r="P41" s="11">
        <f>VLOOKUP($C41,'Base de Datos'!$C$88:$Q$90,14,FALSE)</f>
        <v>3</v>
      </c>
      <c r="Q41" s="67">
        <f>VLOOKUP($C41,'Base de Datos'!$C$88:$Q$90,15,FALSE)</f>
        <v>90</v>
      </c>
    </row>
    <row r="42" spans="2:26" ht="15.75" thickBot="1" x14ac:dyDescent="0.3"/>
    <row r="43" spans="2:26" ht="15.75" thickBot="1" x14ac:dyDescent="0.3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19" t="s">
        <v>4</v>
      </c>
      <c r="N43" s="120"/>
      <c r="O43" s="120"/>
      <c r="P43" s="121"/>
    </row>
    <row r="44" spans="2:26" ht="75.75" thickBot="1" x14ac:dyDescent="0.3">
      <c r="B44" s="54" t="s">
        <v>13</v>
      </c>
      <c r="C44" s="53" t="s">
        <v>12</v>
      </c>
      <c r="D44" s="53" t="s">
        <v>30</v>
      </c>
      <c r="E44" s="53" t="s">
        <v>29</v>
      </c>
      <c r="F44" s="53" t="s">
        <v>28</v>
      </c>
      <c r="G44" s="53" t="s">
        <v>27</v>
      </c>
      <c r="H44" s="53" t="s">
        <v>26</v>
      </c>
      <c r="I44" s="53" t="s">
        <v>25</v>
      </c>
      <c r="J44" s="53" t="s">
        <v>24</v>
      </c>
      <c r="K44" s="53" t="s">
        <v>23</v>
      </c>
      <c r="L44" s="53" t="s">
        <v>22</v>
      </c>
      <c r="M44" s="8" t="s">
        <v>3</v>
      </c>
      <c r="N44" s="7" t="s">
        <v>2</v>
      </c>
      <c r="O44" s="7" t="s">
        <v>0</v>
      </c>
      <c r="P44" s="6" t="s">
        <v>1</v>
      </c>
    </row>
    <row r="45" spans="2:26" ht="15.75" thickBot="1" x14ac:dyDescent="0.3">
      <c r="B45" s="52" t="str">
        <f>B5</f>
        <v>S</v>
      </c>
      <c r="C45" s="50">
        <f>D5</f>
        <v>1</v>
      </c>
      <c r="D45" s="51">
        <f>IF(ISERROR(3600*Promedios!$Z$46*G5/E5),1,3600*Promedios!$Z$46*G5/E5)</f>
        <v>1</v>
      </c>
      <c r="E45" s="51">
        <f>I5/(H5*Promedios!$Z$47)</f>
        <v>2.3739701159055998E-4</v>
      </c>
      <c r="F45" s="51">
        <f>J5/((D45/K5)*Promedios!$Z$47)</f>
        <v>2.5</v>
      </c>
      <c r="G45" s="51">
        <f>(L5/M5)/(Promedios!$Z$47)</f>
        <v>2.8333333333333332E-2</v>
      </c>
      <c r="H45" s="51">
        <f>N5/Promedios!$Z$47</f>
        <v>2.1666666666666667E-2</v>
      </c>
      <c r="I45" s="50">
        <f>ROUND(D45/H5,0)</f>
        <v>0</v>
      </c>
      <c r="J45" s="51">
        <f>O5/H5/Promedios!$Z$47</f>
        <v>6.7204301075268812E-4</v>
      </c>
      <c r="K45" s="51">
        <f>Q5/(Promedios!$Z$47*(D45))</f>
        <v>1.5</v>
      </c>
      <c r="L45" s="51">
        <f>SUM(J45,H45,G45,F45,K45,E45)</f>
        <v>4.0509094400223438</v>
      </c>
      <c r="M45" s="50">
        <f>C45</f>
        <v>1</v>
      </c>
      <c r="N45" s="51">
        <f>Promedios!$Z$46*Promedios!$Z$47/D45</f>
        <v>450</v>
      </c>
      <c r="O45" s="50">
        <f>L45</f>
        <v>4.0509094400223438</v>
      </c>
      <c r="P45" s="49">
        <f>IF(D45=1,0,O45/N45)</f>
        <v>0</v>
      </c>
      <c r="S45" s="48" t="s">
        <v>21</v>
      </c>
      <c r="T45" s="47" t="s">
        <v>20</v>
      </c>
      <c r="V45" s="1"/>
      <c r="W45" s="136" t="s">
        <v>113</v>
      </c>
      <c r="Y45" s="137" t="s">
        <v>114</v>
      </c>
      <c r="Z45" s="129" t="str">
        <f>Aplicación!K6</f>
        <v>Primer Turno</v>
      </c>
    </row>
    <row r="46" spans="2:26" x14ac:dyDescent="0.25">
      <c r="B46" s="42" t="str">
        <f t="shared" ref="B46:B81" si="0">B6</f>
        <v>S</v>
      </c>
      <c r="C46" s="41" t="str">
        <f t="shared" ref="C46:C81" si="1">D6</f>
        <v>1-A</v>
      </c>
      <c r="D46" s="41">
        <f>IF(ISERROR(3600*Promedios!$Z$46*G6/E6),1,3600*Promedios!$Z$46*G6/E6)</f>
        <v>4096.5517241379312</v>
      </c>
      <c r="E46" s="41">
        <f>I6/(H6*Promedios!$Z$47)</f>
        <v>3.0789208399542092E-3</v>
      </c>
      <c r="F46" s="41">
        <f>J6/((D46/K6)*Promedios!$Z$47)</f>
        <v>6.1026936026936022E-4</v>
      </c>
      <c r="G46" s="41">
        <f>(L6/M6)/(Promedios!$Z$47)</f>
        <v>7.3499999999999996E-2</v>
      </c>
      <c r="H46" s="41">
        <f>N6/Promedios!$Z$47</f>
        <v>2.3333333333333331E-2</v>
      </c>
      <c r="I46" s="41">
        <f>ROUND(D46/H6,0)</f>
        <v>11</v>
      </c>
      <c r="J46" s="41">
        <f>O6/H6/Promedios!$Z$47</f>
        <v>8.7613409195755818E-3</v>
      </c>
      <c r="K46" s="41">
        <f>Q6/(Promedios!$Z$47*(D46))</f>
        <v>3.6616161616161613E-4</v>
      </c>
      <c r="L46" s="41">
        <f t="shared" ref="L46:L81" si="2">SUM(J46,H46,G46,F46,K46,E46)</f>
        <v>0.10965002606929411</v>
      </c>
      <c r="M46" s="41" t="str">
        <f t="shared" ref="M46:M81" si="3">C46</f>
        <v>1-A</v>
      </c>
      <c r="N46" s="41">
        <f>Promedios!$Z$46*Promedios!$Z$47/D46</f>
        <v>0.10984848484848485</v>
      </c>
      <c r="O46" s="41">
        <f t="shared" ref="O46:O81" si="4">L46</f>
        <v>0.10965002606929411</v>
      </c>
      <c r="P46" s="40">
        <f>IF(D46=1,0,O46/N46)</f>
        <v>0.99819334076874633</v>
      </c>
      <c r="S46" s="46" t="s">
        <v>19</v>
      </c>
      <c r="T46" s="45">
        <f>ROUND(Q53,0)</f>
        <v>4</v>
      </c>
      <c r="V46" s="133" t="s">
        <v>42</v>
      </c>
      <c r="W46" s="132">
        <v>7.5</v>
      </c>
      <c r="X46" s="110"/>
      <c r="Y46" s="134" t="s">
        <v>116</v>
      </c>
      <c r="Z46" s="130">
        <f>VLOOKUP(Z45,V46:W48,2,FALSE)</f>
        <v>7.5</v>
      </c>
    </row>
    <row r="47" spans="2:26" ht="15.75" thickBot="1" x14ac:dyDescent="0.3">
      <c r="B47" s="39" t="str">
        <f t="shared" si="0"/>
        <v>S</v>
      </c>
      <c r="C47" s="38">
        <f t="shared" si="1"/>
        <v>2</v>
      </c>
      <c r="D47" s="38">
        <f>IF(ISERROR(3600*Promedios!$Z$46*G7/E7),1,3600*Promedios!$Z$46*G7/E7)</f>
        <v>2076.9230769230771</v>
      </c>
      <c r="E47" s="38">
        <f>I7/(H7*Promedios!$Z$47)</f>
        <v>1.5286171347316034E-3</v>
      </c>
      <c r="F47" s="38">
        <f>J7/((D47/K7)*Promedios!$Z$47)</f>
        <v>1.2037037037037036E-3</v>
      </c>
      <c r="G47" s="38">
        <f>(L7/M7)/(Promedios!$Z$47)</f>
        <v>7.8333333333333338E-2</v>
      </c>
      <c r="H47" s="38">
        <f>N7/Promedios!$Z$47</f>
        <v>0</v>
      </c>
      <c r="I47" s="38">
        <f t="shared" ref="I47:I81" si="5">ROUND(D47/H7,0)</f>
        <v>6</v>
      </c>
      <c r="J47" s="38">
        <f>O7/H7/Promedios!$Z$47</f>
        <v>2.0381561796421377E-3</v>
      </c>
      <c r="K47" s="38">
        <f>Q7/(Promedios!$Z$47*(D47))</f>
        <v>7.2222222222222219E-4</v>
      </c>
      <c r="L47" s="38">
        <f t="shared" si="2"/>
        <v>8.3826032573632997E-2</v>
      </c>
      <c r="M47" s="38">
        <f t="shared" si="3"/>
        <v>2</v>
      </c>
      <c r="N47" s="38">
        <f>Promedios!$Z$46*Promedios!$Z$47/D47</f>
        <v>0.21666666666666665</v>
      </c>
      <c r="O47" s="38">
        <f t="shared" si="4"/>
        <v>8.3826032573632997E-2</v>
      </c>
      <c r="P47" s="66">
        <f t="shared" ref="P47:P81" si="6">IF(D47=1,0,O47/N47)</f>
        <v>0.38688938110907539</v>
      </c>
      <c r="S47" s="46" t="s">
        <v>18</v>
      </c>
      <c r="T47" s="45">
        <f>ROUND(Q58,0)</f>
        <v>2</v>
      </c>
      <c r="V47" s="134" t="s">
        <v>43</v>
      </c>
      <c r="W47" s="130">
        <v>7.5</v>
      </c>
      <c r="X47" s="111"/>
      <c r="Y47" s="135" t="s">
        <v>117</v>
      </c>
      <c r="Z47" s="131">
        <v>60</v>
      </c>
    </row>
    <row r="48" spans="2:26" ht="15.75" thickBot="1" x14ac:dyDescent="0.3">
      <c r="B48" s="42" t="str">
        <f t="shared" si="0"/>
        <v>S</v>
      </c>
      <c r="C48" s="41">
        <f t="shared" si="1"/>
        <v>3</v>
      </c>
      <c r="D48" s="41">
        <f>IF(ISERROR(3600*Promedios!$Z$46*G8/E8),1,3600*Promedios!$Z$46*G8/E8)</f>
        <v>1</v>
      </c>
      <c r="E48" s="41">
        <f>I8/(H8*Promedios!$Z$47)</f>
        <v>3.7598544572468168E-3</v>
      </c>
      <c r="F48" s="41">
        <f>J8/((D48/K8)*Promedios!$Z$47)</f>
        <v>2.5</v>
      </c>
      <c r="G48" s="41">
        <f>(L8/M8)/(Promedios!$Z$47)</f>
        <v>7.3333333333333334E-2</v>
      </c>
      <c r="H48" s="41">
        <f>N8/Promedios!$Z$47</f>
        <v>0</v>
      </c>
      <c r="I48" s="41">
        <f t="shared" si="5"/>
        <v>0</v>
      </c>
      <c r="J48" s="41">
        <f>O8/H8/Promedios!$Z$47</f>
        <v>5.0131392763290887E-3</v>
      </c>
      <c r="K48" s="41">
        <f>Q8/(Promedios!$Z$47*(D48))</f>
        <v>1.5</v>
      </c>
      <c r="L48" s="41">
        <f t="shared" si="2"/>
        <v>4.0821063270669091</v>
      </c>
      <c r="M48" s="41">
        <f t="shared" si="3"/>
        <v>3</v>
      </c>
      <c r="N48" s="41">
        <f>Promedios!$Z$46*Promedios!$Z$47/D48</f>
        <v>450</v>
      </c>
      <c r="O48" s="41">
        <f t="shared" si="4"/>
        <v>4.0821063270669091</v>
      </c>
      <c r="P48" s="40">
        <f t="shared" si="6"/>
        <v>0</v>
      </c>
      <c r="S48" s="46" t="s">
        <v>45</v>
      </c>
      <c r="T48" s="45">
        <f>ROUND(Q81,0)</f>
        <v>5</v>
      </c>
      <c r="V48" s="135" t="s">
        <v>44</v>
      </c>
      <c r="W48" s="131">
        <v>9</v>
      </c>
      <c r="X48" s="111"/>
    </row>
    <row r="49" spans="2:26" ht="15.75" thickBot="1" x14ac:dyDescent="0.3">
      <c r="B49" s="39" t="str">
        <f t="shared" si="0"/>
        <v>S</v>
      </c>
      <c r="C49" s="38">
        <f t="shared" si="1"/>
        <v>4</v>
      </c>
      <c r="D49" s="38">
        <f>IF(ISERROR(3600*Promedios!$Z$46*G9/E9),1,3600*Promedios!$Z$46*G9/E9)</f>
        <v>1173.9130434782608</v>
      </c>
      <c r="E49" s="38">
        <f>I9/(H9*Promedios!$Z$47)</f>
        <v>8.3106971931186137E-3</v>
      </c>
      <c r="F49" s="38">
        <f>J9/((D49/K9)*Promedios!$Z$47)</f>
        <v>2.1296296296296298E-3</v>
      </c>
      <c r="G49" s="38">
        <f>(L9/M9)/(Promedios!$Z$47)</f>
        <v>7.8333333333333338E-2</v>
      </c>
      <c r="H49" s="38">
        <f>N9/Promedios!$Z$47</f>
        <v>0</v>
      </c>
      <c r="I49" s="38">
        <f t="shared" si="5"/>
        <v>20</v>
      </c>
      <c r="J49" s="38">
        <f>O9/H9/Promedios!$Z$47</f>
        <v>1.1080929590824818E-2</v>
      </c>
      <c r="K49" s="38">
        <f>Q9/(Promedios!$Z$47*(D49))</f>
        <v>1.2777777777777779E-3</v>
      </c>
      <c r="L49" s="38">
        <f t="shared" si="2"/>
        <v>0.10113236752468419</v>
      </c>
      <c r="M49" s="38">
        <f t="shared" si="3"/>
        <v>4</v>
      </c>
      <c r="N49" s="38">
        <f>Promedios!$Z$46*Promedios!$Z$47/D49</f>
        <v>0.38333333333333336</v>
      </c>
      <c r="O49" s="38">
        <f t="shared" si="4"/>
        <v>0.10113236752468419</v>
      </c>
      <c r="P49" s="66">
        <f t="shared" si="6"/>
        <v>0.26382356745569785</v>
      </c>
      <c r="S49" s="44" t="s">
        <v>17</v>
      </c>
      <c r="T49" s="43">
        <f>F84</f>
        <v>1</v>
      </c>
      <c r="X49" s="111"/>
      <c r="Y49" s="111"/>
      <c r="Z49" s="111"/>
    </row>
    <row r="50" spans="2:26" ht="15.75" thickBot="1" x14ac:dyDescent="0.3">
      <c r="B50" s="42" t="str">
        <f t="shared" si="0"/>
        <v>S</v>
      </c>
      <c r="C50" s="41">
        <f t="shared" si="1"/>
        <v>5</v>
      </c>
      <c r="D50" s="41">
        <f>IF(ISERROR(3600*Promedios!$Z$46*G10/E10),1,3600*Promedios!$Z$46*G10/E10)</f>
        <v>3272.7272727272725</v>
      </c>
      <c r="E50" s="41">
        <f>I10/(H10*Promedios!$Z$47)</f>
        <v>3.8513144163395121E-3</v>
      </c>
      <c r="F50" s="41">
        <f>J10/((D50/K10)*Promedios!$Z$47)</f>
        <v>7.6388888888888893E-4</v>
      </c>
      <c r="G50" s="41">
        <f>(L10/M10)/(Promedios!$Z$47)</f>
        <v>7.7166666666666661E-2</v>
      </c>
      <c r="H50" s="41">
        <f>N10/Promedios!$Z$47</f>
        <v>0</v>
      </c>
      <c r="I50" s="41">
        <f t="shared" si="5"/>
        <v>25</v>
      </c>
      <c r="J50" s="41">
        <f>O10/H10/Promedios!$Z$47</f>
        <v>5.1350858884526831E-3</v>
      </c>
      <c r="K50" s="41">
        <f>Q10/(Promedios!$Z$47*(D50))</f>
        <v>4.5833333333333338E-4</v>
      </c>
      <c r="L50" s="41">
        <f t="shared" si="2"/>
        <v>8.737528919368108E-2</v>
      </c>
      <c r="M50" s="41">
        <f t="shared" si="3"/>
        <v>5</v>
      </c>
      <c r="N50" s="41">
        <f>Promedios!$Z$46*Promedios!$Z$47/D50</f>
        <v>0.13750000000000001</v>
      </c>
      <c r="O50" s="41">
        <f t="shared" si="4"/>
        <v>8.737528919368108E-2</v>
      </c>
      <c r="P50" s="40">
        <f t="shared" si="6"/>
        <v>0.6354566486813169</v>
      </c>
      <c r="S50" s="125" t="s">
        <v>16</v>
      </c>
      <c r="T50" s="126">
        <f>SUM(T46:T49)</f>
        <v>12</v>
      </c>
    </row>
    <row r="51" spans="2:26" x14ac:dyDescent="0.25">
      <c r="B51" s="39" t="str">
        <f t="shared" si="0"/>
        <v>S</v>
      </c>
      <c r="C51" s="38">
        <f t="shared" si="1"/>
        <v>6</v>
      </c>
      <c r="D51" s="38">
        <f>IF(ISERROR(3600*Promedios!$Z$46*G11/E11),1,3600*Promedios!$Z$46*G11/E11)</f>
        <v>3529.411764705882</v>
      </c>
      <c r="E51" s="38">
        <f>I11/(H11*Promedios!$Z$47)</f>
        <v>1.0318625626729639E-3</v>
      </c>
      <c r="F51" s="38">
        <f>J11/((D51/K11)*Promedios!$Z$47)</f>
        <v>7.0833333333333349E-4</v>
      </c>
      <c r="G51" s="38">
        <f>(L11/M11)/(Promedios!$Z$47)</f>
        <v>8.3333333333333329E-2</v>
      </c>
      <c r="H51" s="38">
        <f>N11/Promedios!$Z$47</f>
        <v>0</v>
      </c>
      <c r="I51" s="38">
        <f t="shared" si="5"/>
        <v>7</v>
      </c>
      <c r="J51" s="38">
        <f>O11/H11/Promedios!$Z$47</f>
        <v>1.3758167502306185E-3</v>
      </c>
      <c r="K51" s="38">
        <f>Q11/(Promedios!$Z$47*(D51))</f>
        <v>4.2500000000000003E-4</v>
      </c>
      <c r="L51" s="38">
        <f t="shared" si="2"/>
        <v>8.6874345979570236E-2</v>
      </c>
      <c r="M51" s="38">
        <f t="shared" si="3"/>
        <v>6</v>
      </c>
      <c r="N51" s="38">
        <f>Promedios!$Z$46*Promedios!$Z$47/D51</f>
        <v>0.1275</v>
      </c>
      <c r="O51" s="38">
        <f t="shared" si="4"/>
        <v>8.6874345979570236E-2</v>
      </c>
      <c r="P51" s="66">
        <f t="shared" si="6"/>
        <v>0.6813674194476097</v>
      </c>
    </row>
    <row r="52" spans="2:26" x14ac:dyDescent="0.25">
      <c r="B52" s="42" t="str">
        <f t="shared" si="0"/>
        <v>S</v>
      </c>
      <c r="C52" s="41">
        <f t="shared" si="1"/>
        <v>7</v>
      </c>
      <c r="D52" s="41">
        <f>IF(ISERROR(3600*Promedios!$Z$46*G12/E12),1,3600*Promedios!$Z$46*G12/E12)</f>
        <v>3483.8709677419356</v>
      </c>
      <c r="E52" s="41">
        <f>I12/(H12*Promedios!$Z$47)</f>
        <v>3.5995355438008E-3</v>
      </c>
      <c r="F52" s="41">
        <f>J12/((D52/K12)*Promedios!$Z$47)</f>
        <v>7.1759259259259259E-4</v>
      </c>
      <c r="G52" s="41">
        <f>(L12/M12)/(Promedios!$Z$47)</f>
        <v>9.3833333333333338E-2</v>
      </c>
      <c r="H52" s="41">
        <f>N12/Promedios!$Z$47</f>
        <v>0</v>
      </c>
      <c r="I52" s="41">
        <f t="shared" si="5"/>
        <v>25</v>
      </c>
      <c r="J52" s="41">
        <f>O12/H12/Promedios!$Z$47</f>
        <v>4.7993807250677339E-3</v>
      </c>
      <c r="K52" s="41">
        <f>Q12/(Promedios!$Z$47*(D52))</f>
        <v>4.3055555555555555E-4</v>
      </c>
      <c r="L52" s="41">
        <f t="shared" si="2"/>
        <v>0.10338039775035002</v>
      </c>
      <c r="M52" s="41">
        <f t="shared" si="3"/>
        <v>7</v>
      </c>
      <c r="N52" s="41">
        <f>Promedios!$Z$46*Promedios!$Z$47/D52</f>
        <v>0.12916666666666665</v>
      </c>
      <c r="O52" s="41">
        <f t="shared" si="4"/>
        <v>0.10338039775035002</v>
      </c>
      <c r="P52" s="40">
        <f t="shared" si="6"/>
        <v>0.80036436968012925</v>
      </c>
    </row>
    <row r="53" spans="2:26" x14ac:dyDescent="0.25">
      <c r="B53" s="39" t="str">
        <f t="shared" si="0"/>
        <v>S</v>
      </c>
      <c r="C53" s="38">
        <f t="shared" si="1"/>
        <v>9</v>
      </c>
      <c r="D53" s="38">
        <f>IF(ISERROR(3600*Promedios!$Z$46*G13/E13),1,3600*Promedios!$Z$46*G13/E13)</f>
        <v>1</v>
      </c>
      <c r="E53" s="38">
        <f>I13/(H13*Promedios!$Z$47)</f>
        <v>6.4379791625712602E-3</v>
      </c>
      <c r="F53" s="38">
        <f>J13/((D53/K13)*Promedios!$Z$47)</f>
        <v>2.5</v>
      </c>
      <c r="G53" s="38">
        <f>(L13/M13)/(Promedios!$Z$47)</f>
        <v>0.11666666666666667</v>
      </c>
      <c r="H53" s="38">
        <f>N13/Promedios!$Z$47</f>
        <v>0</v>
      </c>
      <c r="I53" s="38">
        <f t="shared" si="5"/>
        <v>0</v>
      </c>
      <c r="J53" s="38">
        <f>O13/H13/Promedios!$Z$47</f>
        <v>8.5839722167616803E-3</v>
      </c>
      <c r="K53" s="38">
        <f>Q13/(Promedios!$Z$47*(D53))</f>
        <v>1.5</v>
      </c>
      <c r="L53" s="38">
        <f t="shared" si="2"/>
        <v>4.1316886180459997</v>
      </c>
      <c r="M53" s="38">
        <f t="shared" si="3"/>
        <v>9</v>
      </c>
      <c r="N53" s="38">
        <f>Promedios!$Z$46*Promedios!$Z$47/D53</f>
        <v>450</v>
      </c>
      <c r="O53" s="38">
        <f t="shared" si="4"/>
        <v>4.1316886180459997</v>
      </c>
      <c r="P53" s="66">
        <f t="shared" si="6"/>
        <v>0</v>
      </c>
      <c r="Q53">
        <f>SUM(P45:P53)</f>
        <v>3.7660947271425753</v>
      </c>
    </row>
    <row r="54" spans="2:26" x14ac:dyDescent="0.25">
      <c r="B54" s="35" t="str">
        <f t="shared" si="0"/>
        <v>IS</v>
      </c>
      <c r="C54" s="34">
        <f t="shared" si="1"/>
        <v>9</v>
      </c>
      <c r="D54" s="34">
        <f>IF(ISERROR(3600*Promedios!$Z$46*G14/E14),1,3600*Promedios!$Z$46*G14/E14)</f>
        <v>1</v>
      </c>
      <c r="E54" s="34">
        <f>I14/(H14*Promedios!$Z$47)</f>
        <v>1.190614136732329E-3</v>
      </c>
      <c r="F54" s="34">
        <f>J14/((D54/K14)*Promedios!$Z$47)</f>
        <v>1.6833333333333333</v>
      </c>
      <c r="G54" s="34">
        <f>(L14/M14)/(Promedios!$Z$47)</f>
        <v>8.3333333333333332E-3</v>
      </c>
      <c r="H54" s="34">
        <f>N14/Promedios!$Z$47</f>
        <v>3.3333333333333333E-2</v>
      </c>
      <c r="I54" s="34">
        <f t="shared" si="5"/>
        <v>0</v>
      </c>
      <c r="J54" s="34">
        <f>O14/H14/Promedios!$Z$47</f>
        <v>1.3229045963692547E-3</v>
      </c>
      <c r="K54" s="34">
        <f>Q14/(Promedios!$Z$47*(D54))</f>
        <v>1.5</v>
      </c>
      <c r="L54" s="34">
        <f t="shared" si="2"/>
        <v>3.2275135187331014</v>
      </c>
      <c r="M54" s="34">
        <f t="shared" si="3"/>
        <v>9</v>
      </c>
      <c r="N54" s="34">
        <f>Promedios!$Z$46*Promedios!$Z$47/D54</f>
        <v>450</v>
      </c>
      <c r="O54" s="34">
        <f t="shared" si="4"/>
        <v>3.2275135187331014</v>
      </c>
      <c r="P54" s="64">
        <f t="shared" si="6"/>
        <v>0</v>
      </c>
    </row>
    <row r="55" spans="2:26" x14ac:dyDescent="0.25">
      <c r="B55" s="37" t="str">
        <f t="shared" si="0"/>
        <v>IS</v>
      </c>
      <c r="C55" s="36">
        <f t="shared" si="1"/>
        <v>10</v>
      </c>
      <c r="D55" s="36">
        <f>IF(ISERROR(3600*Promedios!$Z$46*G15/E15),1,3600*Promedios!$Z$46*G15/E15)</f>
        <v>6750</v>
      </c>
      <c r="E55" s="36">
        <f>I15/(H15*Promedios!$Z$47)</f>
        <v>1.6412940057088487E-3</v>
      </c>
      <c r="F55" s="36">
        <f>J15/((D55/K15)*Promedios!$Z$47)</f>
        <v>2.4938271604938274E-4</v>
      </c>
      <c r="G55" s="36">
        <f>(L15/M15)/(Promedios!$Z$47)</f>
        <v>8.3333333333333332E-3</v>
      </c>
      <c r="H55" s="36">
        <f>N15/Promedios!$Z$47</f>
        <v>3.3333333333333333E-2</v>
      </c>
      <c r="I55" s="36">
        <f t="shared" si="5"/>
        <v>15</v>
      </c>
      <c r="J55" s="36">
        <f>O15/H15/Promedios!$Z$47</f>
        <v>1.8236600063431653E-3</v>
      </c>
      <c r="K55" s="36">
        <f>Q15/(Promedios!$Z$47*(D55))</f>
        <v>2.2222222222222223E-4</v>
      </c>
      <c r="L55" s="36">
        <f t="shared" si="2"/>
        <v>4.5603225616990289E-2</v>
      </c>
      <c r="M55" s="36">
        <f t="shared" si="3"/>
        <v>10</v>
      </c>
      <c r="N55" s="36">
        <f>Promedios!$Z$46*Promedios!$Z$47/D55</f>
        <v>6.6666666666666666E-2</v>
      </c>
      <c r="O55" s="36">
        <f t="shared" si="4"/>
        <v>4.5603225616990289E-2</v>
      </c>
      <c r="P55" s="65">
        <f t="shared" si="6"/>
        <v>0.68404838425485437</v>
      </c>
    </row>
    <row r="56" spans="2:26" x14ac:dyDescent="0.25">
      <c r="B56" s="35" t="str">
        <f t="shared" si="0"/>
        <v>IS</v>
      </c>
      <c r="C56" s="34">
        <f t="shared" si="1"/>
        <v>29</v>
      </c>
      <c r="D56" s="34">
        <f>IF(ISERROR(3600*Promedios!$Z$46*G16/E16),1,3600*Promedios!$Z$46*G16/E16)</f>
        <v>4909.090909090909</v>
      </c>
      <c r="E56" s="34">
        <f>I16/(H16*Promedios!$Z$47)</f>
        <v>1.6254063515878971E-3</v>
      </c>
      <c r="F56" s="34">
        <f>J16/((D56/K16)*Promedios!$Z$47)</f>
        <v>3.4290123456790124E-4</v>
      </c>
      <c r="G56" s="34">
        <f>(L16/M16)/(Promedios!$Z$47)</f>
        <v>8.3333333333333332E-3</v>
      </c>
      <c r="H56" s="34">
        <f>N16/Promedios!$Z$47</f>
        <v>3.3333333333333333E-2</v>
      </c>
      <c r="I56" s="34">
        <f t="shared" si="5"/>
        <v>11</v>
      </c>
      <c r="J56" s="34">
        <f>O16/H16/Promedios!$Z$47</f>
        <v>1.8060070573198857E-3</v>
      </c>
      <c r="K56" s="34">
        <f>Q16/(Promedios!$Z$47*(D56))</f>
        <v>3.0555555555555555E-4</v>
      </c>
      <c r="L56" s="34">
        <f t="shared" si="2"/>
        <v>4.5746536865697907E-2</v>
      </c>
      <c r="M56" s="34">
        <f t="shared" si="3"/>
        <v>29</v>
      </c>
      <c r="N56" s="34">
        <f>Promedios!$Z$46*Promedios!$Z$47/D56</f>
        <v>9.1666666666666674E-2</v>
      </c>
      <c r="O56" s="34">
        <f t="shared" si="4"/>
        <v>4.5746536865697907E-2</v>
      </c>
      <c r="P56" s="64">
        <f t="shared" si="6"/>
        <v>0.49905312944397712</v>
      </c>
    </row>
    <row r="57" spans="2:26" x14ac:dyDescent="0.25">
      <c r="B57" s="37" t="str">
        <f t="shared" si="0"/>
        <v>IS</v>
      </c>
      <c r="C57" s="36">
        <f t="shared" si="1"/>
        <v>34</v>
      </c>
      <c r="D57" s="36">
        <f>IF(ISERROR(3600*Promedios!$Z$46*G17/E17),1,3600*Promedios!$Z$46*G17/E17)</f>
        <v>6000</v>
      </c>
      <c r="E57" s="36">
        <f>I17/(H17*Promedios!$Z$47)</f>
        <v>1.8183624801271861E-3</v>
      </c>
      <c r="F57" s="36">
        <f>J17/((D57/K17)*Promedios!$Z$47)</f>
        <v>2.8055555555555554E-4</v>
      </c>
      <c r="G57" s="36">
        <f>(L17/M17)/(Promedios!$Z$47)</f>
        <v>8.3333333333333332E-3</v>
      </c>
      <c r="H57" s="36">
        <f>N17/Promedios!$Z$47</f>
        <v>3.3333333333333333E-2</v>
      </c>
      <c r="I57" s="36">
        <f t="shared" si="5"/>
        <v>15</v>
      </c>
      <c r="J57" s="36">
        <f>O17/H17/Promedios!$Z$47</f>
        <v>2.0204027556968733E-3</v>
      </c>
      <c r="K57" s="36">
        <f>Q17/(Promedios!$Z$47*(D57))</f>
        <v>2.5000000000000001E-4</v>
      </c>
      <c r="L57" s="36">
        <f t="shared" si="2"/>
        <v>4.6035987458046275E-2</v>
      </c>
      <c r="M57" s="36">
        <f t="shared" si="3"/>
        <v>34</v>
      </c>
      <c r="N57" s="36">
        <f>Promedios!$Z$46*Promedios!$Z$47/D57</f>
        <v>7.4999999999999997E-2</v>
      </c>
      <c r="O57" s="36">
        <f t="shared" si="4"/>
        <v>4.6035987458046275E-2</v>
      </c>
      <c r="P57" s="65">
        <f t="shared" si="6"/>
        <v>0.61381316610728365</v>
      </c>
    </row>
    <row r="58" spans="2:26" x14ac:dyDescent="0.25">
      <c r="B58" s="35" t="str">
        <f t="shared" si="0"/>
        <v>IS</v>
      </c>
      <c r="C58" s="34">
        <f t="shared" si="1"/>
        <v>35</v>
      </c>
      <c r="D58" s="34">
        <f>IF(ISERROR(3600*Promedios!$Z$46*G18/E18),1,3600*Promedios!$Z$46*G18/E18)</f>
        <v>3483.8709677419356</v>
      </c>
      <c r="E58" s="34">
        <f>I18/(H18*Promedios!$Z$47)</f>
        <v>2.3590204448438552E-3</v>
      </c>
      <c r="F58" s="34">
        <f>J18/((D58/K18)*Promedios!$Z$47)</f>
        <v>4.8317901234567903E-4</v>
      </c>
      <c r="G58" s="34">
        <f>(L18/M18)/(Promedios!$Z$47)</f>
        <v>8.3333333333333332E-3</v>
      </c>
      <c r="H58" s="34">
        <f>N18/Promedios!$Z$47</f>
        <v>3.3333333333333333E-2</v>
      </c>
      <c r="I58" s="34">
        <f t="shared" si="5"/>
        <v>11</v>
      </c>
      <c r="J58" s="34">
        <f>O18/H18/Promedios!$Z$47</f>
        <v>2.6211338276042836E-3</v>
      </c>
      <c r="K58" s="34">
        <f>Q18/(Promedios!$Z$47*(D58))</f>
        <v>4.3055555555555555E-4</v>
      </c>
      <c r="L58" s="34">
        <f t="shared" si="2"/>
        <v>4.7560555507016038E-2</v>
      </c>
      <c r="M58" s="34">
        <f t="shared" si="3"/>
        <v>35</v>
      </c>
      <c r="N58" s="34">
        <f>Promedios!$Z$46*Promedios!$Z$47/D58</f>
        <v>0.12916666666666665</v>
      </c>
      <c r="O58" s="34">
        <f t="shared" si="4"/>
        <v>4.7560555507016038E-2</v>
      </c>
      <c r="P58" s="64">
        <f t="shared" si="6"/>
        <v>0.36821075231238226</v>
      </c>
      <c r="Q58">
        <f>SUM(P54:P58)</f>
        <v>2.1651254321184972</v>
      </c>
    </row>
    <row r="59" spans="2:26" x14ac:dyDescent="0.25">
      <c r="B59" s="33" t="str">
        <f t="shared" si="0"/>
        <v>I</v>
      </c>
      <c r="C59" s="32" t="str">
        <f t="shared" si="1"/>
        <v>1-A</v>
      </c>
      <c r="D59" s="32">
        <f>IF(ISERROR(3600*Promedios!$Z$46*G19/E19),1,3600*Promedios!$Z$46*G19/E19)</f>
        <v>9356.4356435643567</v>
      </c>
      <c r="E59" s="32">
        <f>I19/(H19*Promedios!$Z$47)</f>
        <v>7.2752681984462986E-5</v>
      </c>
      <c r="F59" s="32">
        <f>J19/((D59/K19)*Promedios!$Z$47)</f>
        <v>1.0474074074074075E-3</v>
      </c>
      <c r="G59" s="32">
        <f>(L19/M19)/(Promedios!$Z$47)</f>
        <v>2.6666666666666668E-2</v>
      </c>
      <c r="H59" s="32">
        <f>N19/Promedios!$Z$47</f>
        <v>0</v>
      </c>
      <c r="I59" s="32">
        <f t="shared" si="5"/>
        <v>1</v>
      </c>
      <c r="J59" s="32">
        <f>O19/H19/Promedios!$Z$47</f>
        <v>6.4669050652855988E-5</v>
      </c>
      <c r="K59" s="32">
        <f>Q19/(Promedios!$Z$47*(D59))</f>
        <v>1.603174603174603E-4</v>
      </c>
      <c r="L59" s="32">
        <f t="shared" si="2"/>
        <v>2.8011813267028857E-2</v>
      </c>
      <c r="M59" s="32" t="str">
        <f t="shared" si="3"/>
        <v>1-A</v>
      </c>
      <c r="N59" s="32">
        <f>Promedios!$Z$46*Promedios!$Z$47/D59</f>
        <v>4.8095238095238094E-2</v>
      </c>
      <c r="O59" s="32">
        <f t="shared" si="4"/>
        <v>2.8011813267028857E-2</v>
      </c>
      <c r="P59" s="63">
        <f t="shared" si="6"/>
        <v>0.58242384020555049</v>
      </c>
    </row>
    <row r="60" spans="2:26" x14ac:dyDescent="0.25">
      <c r="B60" s="31" t="str">
        <f t="shared" si="0"/>
        <v>I</v>
      </c>
      <c r="C60" s="30">
        <f t="shared" si="1"/>
        <v>2</v>
      </c>
      <c r="D60" s="30">
        <f>IF(ISERROR(3600*Promedios!$Z$46*G20/E20),1,3600*Promedios!$Z$46*G20/E20)</f>
        <v>12925.531914893616</v>
      </c>
      <c r="E60" s="30">
        <f>I20/(H20*Promedios!$Z$47)</f>
        <v>1.0248055497162076E-4</v>
      </c>
      <c r="F60" s="30">
        <f>J20/((D60/K20)*Promedios!$Z$47)</f>
        <v>3.2493827160493829E-4</v>
      </c>
      <c r="G60" s="30">
        <f>(L20/M20)/(Promedios!$Z$47)</f>
        <v>1.2500000000000001E-2</v>
      </c>
      <c r="H60" s="30">
        <f>N20/Promedios!$Z$47</f>
        <v>0</v>
      </c>
      <c r="I60" s="30">
        <f t="shared" si="5"/>
        <v>2</v>
      </c>
      <c r="J60" s="30">
        <f>O20/H20/Promedios!$Z$47</f>
        <v>9.1093826641440686E-5</v>
      </c>
      <c r="K60" s="30">
        <f>Q20/(Promedios!$Z$47*(D60))</f>
        <v>1.160493827160494E-4</v>
      </c>
      <c r="L60" s="30">
        <f t="shared" si="2"/>
        <v>1.3134562035934052E-2</v>
      </c>
      <c r="M60" s="30">
        <f t="shared" si="3"/>
        <v>2</v>
      </c>
      <c r="N60" s="30">
        <f>Promedios!$Z$46*Promedios!$Z$47/D60</f>
        <v>3.4814814814814819E-2</v>
      </c>
      <c r="O60" s="30">
        <f t="shared" si="4"/>
        <v>1.3134562035934052E-2</v>
      </c>
      <c r="P60" s="62">
        <f t="shared" si="6"/>
        <v>0.37726933507470145</v>
      </c>
    </row>
    <row r="61" spans="2:26" x14ac:dyDescent="0.25">
      <c r="B61" s="33" t="str">
        <f t="shared" si="0"/>
        <v>I</v>
      </c>
      <c r="C61" s="32">
        <f t="shared" si="1"/>
        <v>3</v>
      </c>
      <c r="D61" s="32">
        <f>IF(ISERROR(3600*Promedios!$Z$46*G21/E21),1,3600*Promedios!$Z$46*G21/E21)</f>
        <v>8901.0989010989015</v>
      </c>
      <c r="E61" s="32">
        <f>I21/(H21*Promedios!$Z$47)</f>
        <v>2.0905923344947735E-4</v>
      </c>
      <c r="F61" s="32">
        <f>J21/((D61/K21)*Promedios!$Z$47)</f>
        <v>4.7185185185185183E-4</v>
      </c>
      <c r="G61" s="32">
        <f>(L21/M21)/(Promedios!$Z$47)</f>
        <v>5.8823529411764714E-3</v>
      </c>
      <c r="H61" s="32">
        <f>N21/Promedios!$Z$47</f>
        <v>0</v>
      </c>
      <c r="I61" s="32">
        <f t="shared" si="5"/>
        <v>2</v>
      </c>
      <c r="J61" s="32">
        <f>O21/H21/Promedios!$Z$47</f>
        <v>1.8583042973286876E-4</v>
      </c>
      <c r="K61" s="32">
        <f>Q21/(Promedios!$Z$47*(D61))</f>
        <v>1.6851851851851853E-4</v>
      </c>
      <c r="L61" s="32">
        <f t="shared" si="2"/>
        <v>6.9176129747291881E-3</v>
      </c>
      <c r="M61" s="32">
        <f t="shared" si="3"/>
        <v>3</v>
      </c>
      <c r="N61" s="32">
        <f>Promedios!$Z$46*Promedios!$Z$47/D61</f>
        <v>5.0555555555555555E-2</v>
      </c>
      <c r="O61" s="32">
        <f t="shared" si="4"/>
        <v>6.9176129747291881E-3</v>
      </c>
      <c r="P61" s="63">
        <f t="shared" si="6"/>
        <v>0.13683190499464329</v>
      </c>
    </row>
    <row r="62" spans="2:26" x14ac:dyDescent="0.25">
      <c r="B62" s="31" t="str">
        <f t="shared" si="0"/>
        <v>I</v>
      </c>
      <c r="C62" s="30">
        <f t="shared" si="1"/>
        <v>4</v>
      </c>
      <c r="D62" s="30">
        <f>IF(ISERROR(3600*Promedios!$Z$46*G22/E22),1,3600*Promedios!$Z$46*G22/E22)</f>
        <v>13750</v>
      </c>
      <c r="E62" s="30">
        <f>I22/(H22*Promedios!$Z$47)</f>
        <v>1.25E-4</v>
      </c>
      <c r="F62" s="30">
        <f>J22/((D62/K22)*Promedios!$Z$47)</f>
        <v>3.0545454545454544E-4</v>
      </c>
      <c r="G62" s="30">
        <f>(L22/M22)/(Promedios!$Z$47)</f>
        <v>5.8823529411764714E-3</v>
      </c>
      <c r="H62" s="30">
        <f>N22/Promedios!$Z$47</f>
        <v>0</v>
      </c>
      <c r="I62" s="30">
        <f t="shared" si="5"/>
        <v>2</v>
      </c>
      <c r="J62" s="30">
        <f>O22/H22/Promedios!$Z$47</f>
        <v>1.1111111111111112E-4</v>
      </c>
      <c r="K62" s="30">
        <f>Q22/(Promedios!$Z$47*(D62))</f>
        <v>1.0909090909090909E-4</v>
      </c>
      <c r="L62" s="30">
        <f t="shared" si="2"/>
        <v>6.5330095068330376E-3</v>
      </c>
      <c r="M62" s="30">
        <f t="shared" si="3"/>
        <v>4</v>
      </c>
      <c r="N62" s="30">
        <f>Promedios!$Z$46*Promedios!$Z$47/D62</f>
        <v>3.272727272727273E-2</v>
      </c>
      <c r="O62" s="30">
        <f t="shared" si="4"/>
        <v>6.5330095068330376E-3</v>
      </c>
      <c r="P62" s="62">
        <f t="shared" si="6"/>
        <v>0.19961973493100946</v>
      </c>
    </row>
    <row r="63" spans="2:26" x14ac:dyDescent="0.25">
      <c r="B63" s="33" t="str">
        <f t="shared" si="0"/>
        <v>I</v>
      </c>
      <c r="C63" s="32">
        <f t="shared" si="1"/>
        <v>5</v>
      </c>
      <c r="D63" s="32">
        <f>IF(ISERROR(3600*Promedios!$Z$46*G23/E23),1,3600*Promedios!$Z$46*G23/E23)</f>
        <v>8073.0897009966775</v>
      </c>
      <c r="E63" s="32">
        <f>I23/(H23*Promedios!$Z$47)</f>
        <v>4.3684710351377017E-4</v>
      </c>
      <c r="F63" s="32">
        <f>J23/((D63/K23)*Promedios!$Z$47)</f>
        <v>5.2024691358024697E-4</v>
      </c>
      <c r="G63" s="32">
        <f>(L23/M23)/(Promedios!$Z$47)</f>
        <v>7.6666666666666662E-3</v>
      </c>
      <c r="H63" s="32">
        <f>N23/Promedios!$Z$47</f>
        <v>0</v>
      </c>
      <c r="I63" s="32">
        <f t="shared" si="5"/>
        <v>5</v>
      </c>
      <c r="J63" s="32">
        <f>O23/H23/Promedios!$Z$47</f>
        <v>3.8830853645668465E-4</v>
      </c>
      <c r="K63" s="32">
        <f>Q23/(Promedios!$Z$47*(D63))</f>
        <v>1.8580246913580247E-4</v>
      </c>
      <c r="L63" s="32">
        <f t="shared" si="2"/>
        <v>9.1978716893531681E-3</v>
      </c>
      <c r="M63" s="32">
        <f t="shared" si="3"/>
        <v>5</v>
      </c>
      <c r="N63" s="32">
        <f>Promedios!$Z$46*Promedios!$Z$47/D63</f>
        <v>5.5740740740740743E-2</v>
      </c>
      <c r="O63" s="32">
        <f t="shared" si="4"/>
        <v>9.1978716893531681E-3</v>
      </c>
      <c r="P63" s="63">
        <f t="shared" si="6"/>
        <v>0.16501165156979106</v>
      </c>
    </row>
    <row r="64" spans="2:26" x14ac:dyDescent="0.25">
      <c r="B64" s="31" t="str">
        <f t="shared" si="0"/>
        <v>I</v>
      </c>
      <c r="C64" s="30">
        <f t="shared" si="1"/>
        <v>6</v>
      </c>
      <c r="D64" s="30">
        <f>IF(ISERROR(3600*Promedios!$Z$46*G24/E24),1,3600*Promedios!$Z$46*G24/E24)</f>
        <v>4954.1284403669724</v>
      </c>
      <c r="E64" s="30">
        <f>I24/(H24*Promedios!$Z$47)</f>
        <v>5.0640760644894581E-4</v>
      </c>
      <c r="F64" s="30">
        <f>J24/((D64/K24)*Promedios!$Z$47)</f>
        <v>1.1303703703703703E-3</v>
      </c>
      <c r="G64" s="30">
        <f>(L24/M24)/(Promedios!$Z$47)</f>
        <v>1.111111111111111E-2</v>
      </c>
      <c r="H64" s="30">
        <f>N24/Promedios!$Z$47</f>
        <v>0</v>
      </c>
      <c r="I64" s="30">
        <f t="shared" si="5"/>
        <v>3</v>
      </c>
      <c r="J64" s="30">
        <f>O24/H24/Promedios!$Z$47</f>
        <v>4.5014009462128522E-4</v>
      </c>
      <c r="K64" s="30">
        <f>Q24/(Promedios!$Z$47*(D64))</f>
        <v>3.0277777777777779E-4</v>
      </c>
      <c r="L64" s="30">
        <f t="shared" si="2"/>
        <v>1.3500806960329488E-2</v>
      </c>
      <c r="M64" s="30">
        <f t="shared" si="3"/>
        <v>6</v>
      </c>
      <c r="N64" s="30">
        <f>Promedios!$Z$46*Promedios!$Z$47/D64</f>
        <v>9.0833333333333335E-2</v>
      </c>
      <c r="O64" s="30">
        <f t="shared" si="4"/>
        <v>1.3500806960329488E-2</v>
      </c>
      <c r="P64" s="62">
        <f t="shared" si="6"/>
        <v>0.14863273717793932</v>
      </c>
    </row>
    <row r="65" spans="2:16" x14ac:dyDescent="0.25">
      <c r="B65" s="33" t="str">
        <f t="shared" si="0"/>
        <v>I</v>
      </c>
      <c r="C65" s="32">
        <f t="shared" si="1"/>
        <v>7</v>
      </c>
      <c r="D65" s="32">
        <f>IF(ISERROR(3600*Promedios!$Z$46*G25/E25),1,3600*Promedios!$Z$46*G25/E25)</f>
        <v>3115.3846153846152</v>
      </c>
      <c r="E65" s="32">
        <f>I25/(H25*Promedios!$Z$47)</f>
        <v>2.3449281190308636E-4</v>
      </c>
      <c r="F65" s="32">
        <f>J25/((D65/K25)*Promedios!$Z$47)</f>
        <v>1.3481481481481484E-3</v>
      </c>
      <c r="G65" s="32">
        <f>(L25/M25)/(Promedios!$Z$47)</f>
        <v>8.3333333333333332E-3</v>
      </c>
      <c r="H65" s="32">
        <f>N25/Promedios!$Z$47</f>
        <v>0</v>
      </c>
      <c r="I65" s="32">
        <f t="shared" si="5"/>
        <v>1</v>
      </c>
      <c r="J65" s="32">
        <f>O25/H25/Promedios!$Z$47</f>
        <v>2.0843805502496565E-4</v>
      </c>
      <c r="K65" s="32">
        <f>Q25/(Promedios!$Z$47*(D65))</f>
        <v>4.814814814814815E-4</v>
      </c>
      <c r="L65" s="32">
        <f t="shared" si="2"/>
        <v>1.0605893829891015E-2</v>
      </c>
      <c r="M65" s="32">
        <f t="shared" si="3"/>
        <v>7</v>
      </c>
      <c r="N65" s="32">
        <f>Promedios!$Z$46*Promedios!$Z$47/D65</f>
        <v>0.14444444444444446</v>
      </c>
      <c r="O65" s="32">
        <f t="shared" si="4"/>
        <v>1.0605893829891015E-2</v>
      </c>
      <c r="P65" s="63">
        <f t="shared" si="6"/>
        <v>7.3425418822322411E-2</v>
      </c>
    </row>
    <row r="66" spans="2:16" x14ac:dyDescent="0.25">
      <c r="B66" s="31" t="str">
        <f t="shared" si="0"/>
        <v>I</v>
      </c>
      <c r="C66" s="30">
        <f t="shared" si="1"/>
        <v>8</v>
      </c>
      <c r="D66" s="30">
        <f>IF(ISERROR(3600*Promedios!$Z$46*G26/E26),1,3600*Promedios!$Z$46*G26/E26)</f>
        <v>10000</v>
      </c>
      <c r="E66" s="30">
        <f>I26/(H26*Promedios!$Z$47)</f>
        <v>2.2802929427430095E-4</v>
      </c>
      <c r="F66" s="30">
        <f>J26/((D66/K26)*Promedios!$Z$47)</f>
        <v>4.2000000000000002E-4</v>
      </c>
      <c r="G66" s="30">
        <f>(L26/M26)/(Promedios!$Z$47)</f>
        <v>7.6666666666666662E-3</v>
      </c>
      <c r="H66" s="30">
        <f>N26/Promedios!$Z$47</f>
        <v>0</v>
      </c>
      <c r="I66" s="30">
        <f t="shared" si="5"/>
        <v>3</v>
      </c>
      <c r="J66" s="30">
        <f>O26/H26/Promedios!$Z$47</f>
        <v>2.0269270602160086E-4</v>
      </c>
      <c r="K66" s="30">
        <f>Q26/(Promedios!$Z$47*(D66))</f>
        <v>1.4999999999999999E-4</v>
      </c>
      <c r="L66" s="30">
        <f t="shared" si="2"/>
        <v>8.6673886669625683E-3</v>
      </c>
      <c r="M66" s="30">
        <f t="shared" si="3"/>
        <v>8</v>
      </c>
      <c r="N66" s="30">
        <f>Promedios!$Z$46*Promedios!$Z$47/D66</f>
        <v>4.4999999999999998E-2</v>
      </c>
      <c r="O66" s="30">
        <f t="shared" si="4"/>
        <v>8.6673886669625683E-3</v>
      </c>
      <c r="P66" s="62">
        <f t="shared" si="6"/>
        <v>0.19260863704361264</v>
      </c>
    </row>
    <row r="67" spans="2:16" x14ac:dyDescent="0.25">
      <c r="B67" s="33" t="str">
        <f>B27</f>
        <v>I</v>
      </c>
      <c r="C67" s="32">
        <f>D27</f>
        <v>11</v>
      </c>
      <c r="D67" s="32">
        <f>IF(ISERROR(3600*Promedios!$Z$46*G27/E27),1,3600*Promedios!$Z$46*G27/E27)</f>
        <v>1</v>
      </c>
      <c r="E67" s="32">
        <f>I27/(H27*Promedios!$Z$47)</f>
        <v>1.1945392491467578E-4</v>
      </c>
      <c r="F67" s="32">
        <f>J27/((D67/K27)*Promedios!$Z$47)</f>
        <v>4.2</v>
      </c>
      <c r="G67" s="32">
        <f>(L27/M27)/(Promedios!$Z$47)</f>
        <v>5.5555555555555549E-3</v>
      </c>
      <c r="H67" s="32">
        <f>N27/Promedios!$Z$47</f>
        <v>0</v>
      </c>
      <c r="I67" s="32">
        <f t="shared" ref="I67" si="7">ROUND(D67/H27,0)</f>
        <v>0</v>
      </c>
      <c r="J67" s="32">
        <f>O27/H27/Promedios!$Z$47</f>
        <v>1.0618126659082291E-4</v>
      </c>
      <c r="K67" s="32">
        <f>Q27/(Promedios!$Z$47*(D67))</f>
        <v>1.5</v>
      </c>
      <c r="L67" s="32">
        <f>SUM(J67,H67,G67,F67,K67,E67)</f>
        <v>5.7057811907470608</v>
      </c>
      <c r="M67" s="32">
        <f t="shared" ref="M67" si="8">C67</f>
        <v>11</v>
      </c>
      <c r="N67" s="32">
        <f>Promedios!$Z$46*Promedios!$Z$47/D67</f>
        <v>450</v>
      </c>
      <c r="O67" s="32">
        <f>L67</f>
        <v>5.7057811907470608</v>
      </c>
      <c r="P67" s="63">
        <f>IF(D67=1,0,O67/N67)</f>
        <v>0</v>
      </c>
    </row>
    <row r="68" spans="2:16" x14ac:dyDescent="0.25">
      <c r="B68" s="31" t="str">
        <f t="shared" si="0"/>
        <v>I</v>
      </c>
      <c r="C68" s="30">
        <f t="shared" si="1"/>
        <v>12</v>
      </c>
      <c r="D68" s="30">
        <f>IF(ISERROR(3600*Promedios!$Z$46*G28/E28),1,3600*Promedios!$Z$46*G28/E28)</f>
        <v>4931.5068493150684</v>
      </c>
      <c r="E68" s="30">
        <f>I28/(H28*Promedios!$Z$47)</f>
        <v>2.3645985812408514E-4</v>
      </c>
      <c r="F68" s="30">
        <f>J28/((D68/K28)*Promedios!$Z$47)</f>
        <v>8.516666666666667E-4</v>
      </c>
      <c r="G68" s="30">
        <f>(L28/M28)/(Promedios!$Z$47)</f>
        <v>0.02</v>
      </c>
      <c r="H68" s="30">
        <f>N28/Promedios!$Z$47</f>
        <v>0</v>
      </c>
      <c r="I68" s="30">
        <f t="shared" si="5"/>
        <v>2</v>
      </c>
      <c r="J68" s="30">
        <f>O28/H28/Promedios!$Z$47</f>
        <v>2.1018654055474234E-4</v>
      </c>
      <c r="K68" s="30">
        <f>Q28/(Promedios!$Z$47*(D68))</f>
        <v>3.0416666666666672E-4</v>
      </c>
      <c r="L68" s="30">
        <f t="shared" si="2"/>
        <v>2.160247973201216E-2</v>
      </c>
      <c r="M68" s="30">
        <f t="shared" si="3"/>
        <v>12</v>
      </c>
      <c r="N68" s="30">
        <f>Promedios!$Z$46*Promedios!$Z$47/D68</f>
        <v>9.1249999999999998E-2</v>
      </c>
      <c r="O68" s="30">
        <f t="shared" si="4"/>
        <v>2.160247973201216E-2</v>
      </c>
      <c r="P68" s="62">
        <f t="shared" si="6"/>
        <v>0.23673950391246204</v>
      </c>
    </row>
    <row r="69" spans="2:16" x14ac:dyDescent="0.25">
      <c r="B69" s="33" t="str">
        <f t="shared" si="0"/>
        <v>I</v>
      </c>
      <c r="C69" s="32">
        <f t="shared" si="1"/>
        <v>15</v>
      </c>
      <c r="D69" s="32">
        <f>IF(ISERROR(3600*Promedios!$Z$46*G29/E29),1,3600*Promedios!$Z$46*G29/E29)</f>
        <v>1</v>
      </c>
      <c r="E69" s="32">
        <f>I29/(H29*Promedios!$Z$47)</f>
        <v>3.3411033411033411E-4</v>
      </c>
      <c r="F69" s="32">
        <f>J29/((D69/K29)*Promedios!$Z$47)</f>
        <v>4.2</v>
      </c>
      <c r="G69" s="32">
        <f>(L29/M29)/(Promedios!$Z$47)</f>
        <v>2.5000000000000001E-2</v>
      </c>
      <c r="H69" s="32">
        <f>N29/Promedios!$Z$47</f>
        <v>0</v>
      </c>
      <c r="I69" s="32">
        <f t="shared" si="5"/>
        <v>0</v>
      </c>
      <c r="J69" s="32">
        <f>O29/H29/Promedios!$Z$47</f>
        <v>2.9698696365363031E-4</v>
      </c>
      <c r="K69" s="32">
        <f>Q29/(Promedios!$Z$47*(D69))</f>
        <v>1.5</v>
      </c>
      <c r="L69" s="32">
        <f t="shared" si="2"/>
        <v>5.7256310972977644</v>
      </c>
      <c r="M69" s="32">
        <f t="shared" si="3"/>
        <v>15</v>
      </c>
      <c r="N69" s="32">
        <f>Promedios!$Z$46*Promedios!$Z$47/D69</f>
        <v>450</v>
      </c>
      <c r="O69" s="32">
        <f t="shared" si="4"/>
        <v>5.7256310972977644</v>
      </c>
      <c r="P69" s="63">
        <f t="shared" si="6"/>
        <v>0</v>
      </c>
    </row>
    <row r="70" spans="2:16" x14ac:dyDescent="0.25">
      <c r="B70" s="31" t="str">
        <f t="shared" si="0"/>
        <v>I</v>
      </c>
      <c r="C70" s="30">
        <f t="shared" si="1"/>
        <v>16</v>
      </c>
      <c r="D70" s="30">
        <f>IF(ISERROR(3600*Promedios!$Z$46*G30/E30),1,3600*Promedios!$Z$46*G30/E30)</f>
        <v>1</v>
      </c>
      <c r="E70" s="30">
        <f>I30/(H30*Promedios!$Z$47)</f>
        <v>1.4967637540453074E-4</v>
      </c>
      <c r="F70" s="30">
        <f>J30/((D70/K30)*Promedios!$Z$47)</f>
        <v>4.2</v>
      </c>
      <c r="G70" s="30">
        <f>(L30/M30)/(Promedios!$Z$47)</f>
        <v>2.1666666666666667E-2</v>
      </c>
      <c r="H70" s="30">
        <f>N30/Promedios!$Z$47</f>
        <v>0</v>
      </c>
      <c r="I70" s="30">
        <f t="shared" si="5"/>
        <v>0</v>
      </c>
      <c r="J70" s="30">
        <f>O30/H30/Promedios!$Z$47</f>
        <v>1.3304566702624954E-4</v>
      </c>
      <c r="K70" s="30">
        <f>Q30/(Promedios!$Z$47*(D70))</f>
        <v>1.5</v>
      </c>
      <c r="L70" s="30">
        <f t="shared" si="2"/>
        <v>5.7219493887090982</v>
      </c>
      <c r="M70" s="30">
        <f t="shared" si="3"/>
        <v>16</v>
      </c>
      <c r="N70" s="30">
        <f>Promedios!$Z$46*Promedios!$Z$47/D70</f>
        <v>450</v>
      </c>
      <c r="O70" s="30">
        <f t="shared" si="4"/>
        <v>5.7219493887090982</v>
      </c>
      <c r="P70" s="62">
        <f t="shared" si="6"/>
        <v>0</v>
      </c>
    </row>
    <row r="71" spans="2:16" x14ac:dyDescent="0.25">
      <c r="B71" s="33" t="str">
        <f t="shared" si="0"/>
        <v>I</v>
      </c>
      <c r="C71" s="32">
        <f t="shared" si="1"/>
        <v>18</v>
      </c>
      <c r="D71" s="32">
        <f>IF(ISERROR(3600*Promedios!$Z$46*G31/E31),1,3600*Promedios!$Z$46*G31/E31)</f>
        <v>1</v>
      </c>
      <c r="E71" s="32">
        <f>I31/(H31*Promedios!$Z$47)</f>
        <v>2.1961252969827976E-4</v>
      </c>
      <c r="F71" s="32">
        <f>J31/((D71/K31)*Promedios!$Z$47)</f>
        <v>4.2</v>
      </c>
      <c r="G71" s="32">
        <f>(L31/M31)/(Promedios!$Z$47)</f>
        <v>3.3333333333333333E-2</v>
      </c>
      <c r="H71" s="32">
        <f>N31/Promedios!$Z$47</f>
        <v>1.9166666666666668E-3</v>
      </c>
      <c r="I71" s="32">
        <f t="shared" si="5"/>
        <v>0</v>
      </c>
      <c r="J71" s="32">
        <f>O31/H31/Promedios!$Z$47</f>
        <v>1.9521113750958202E-4</v>
      </c>
      <c r="K71" s="32">
        <f>Q31/(Promedios!$Z$47*(D71))</f>
        <v>1.5</v>
      </c>
      <c r="L71" s="32">
        <f t="shared" si="2"/>
        <v>5.7356648236672081</v>
      </c>
      <c r="M71" s="32">
        <f t="shared" si="3"/>
        <v>18</v>
      </c>
      <c r="N71" s="32">
        <f>Promedios!$Z$46*Promedios!$Z$47/D71</f>
        <v>450</v>
      </c>
      <c r="O71" s="32">
        <f t="shared" si="4"/>
        <v>5.7356648236672081</v>
      </c>
      <c r="P71" s="63">
        <f t="shared" si="6"/>
        <v>0</v>
      </c>
    </row>
    <row r="72" spans="2:16" x14ac:dyDescent="0.25">
      <c r="B72" s="31" t="str">
        <f t="shared" si="0"/>
        <v>I</v>
      </c>
      <c r="C72" s="30">
        <f t="shared" si="1"/>
        <v>19</v>
      </c>
      <c r="D72" s="30">
        <f>IF(ISERROR(3600*Promedios!$Z$46*G32/E32),1,3600*Promedios!$Z$46*G32/E32)</f>
        <v>1</v>
      </c>
      <c r="E72" s="30">
        <f>I32/(H32*Promedios!$Z$47)</f>
        <v>3.7402964008468594E-4</v>
      </c>
      <c r="F72" s="30">
        <f>J32/((D72/K32)*Promedios!$Z$47)</f>
        <v>4.2</v>
      </c>
      <c r="G72" s="30">
        <f>(L32/M32)/(Promedios!$Z$47)</f>
        <v>2.1666666666666667E-2</v>
      </c>
      <c r="H72" s="30">
        <f>N32/Promedios!$Z$47</f>
        <v>0</v>
      </c>
      <c r="I72" s="30">
        <f t="shared" si="5"/>
        <v>0</v>
      </c>
      <c r="J72" s="30">
        <f>O32/H32/Promedios!$Z$47</f>
        <v>3.3247079118638753E-4</v>
      </c>
      <c r="K72" s="30">
        <f>Q32/(Promedios!$Z$47*(D72))</f>
        <v>1.5</v>
      </c>
      <c r="L72" s="30">
        <f t="shared" si="2"/>
        <v>5.7223731670979383</v>
      </c>
      <c r="M72" s="30">
        <f t="shared" si="3"/>
        <v>19</v>
      </c>
      <c r="N72" s="30">
        <f>Promedios!$Z$46*Promedios!$Z$47/D72</f>
        <v>450</v>
      </c>
      <c r="O72" s="30">
        <f t="shared" si="4"/>
        <v>5.7223731670979383</v>
      </c>
      <c r="P72" s="62">
        <f t="shared" si="6"/>
        <v>0</v>
      </c>
    </row>
    <row r="73" spans="2:16" x14ac:dyDescent="0.25">
      <c r="B73" s="33" t="str">
        <f t="shared" si="0"/>
        <v>I</v>
      </c>
      <c r="C73" s="32">
        <f t="shared" si="1"/>
        <v>20</v>
      </c>
      <c r="D73" s="32">
        <f>IF(ISERROR(3600*Promedios!$Z$46*G33/E33),1,3600*Promedios!$Z$46*G33/E33)</f>
        <v>1</v>
      </c>
      <c r="E73" s="32">
        <f>I33/(H33*Promedios!$Z$47)</f>
        <v>5.9957125630833816E-5</v>
      </c>
      <c r="F73" s="32">
        <f>J33/((D73/K33)*Promedios!$Z$47)</f>
        <v>4.2</v>
      </c>
      <c r="G73" s="32">
        <f>(L33/M33)/(Promedios!$Z$47)</f>
        <v>2.5000000000000001E-2</v>
      </c>
      <c r="H73" s="32">
        <f>N33/Promedios!$Z$47</f>
        <v>0</v>
      </c>
      <c r="I73" s="32">
        <f t="shared" si="5"/>
        <v>0</v>
      </c>
      <c r="J73" s="32">
        <f>O33/H33/Promedios!$Z$47</f>
        <v>5.3295222782963393E-5</v>
      </c>
      <c r="K73" s="32">
        <f>Q33/(Promedios!$Z$47*(D73))</f>
        <v>1.5</v>
      </c>
      <c r="L73" s="32">
        <f t="shared" si="2"/>
        <v>5.7251132523484136</v>
      </c>
      <c r="M73" s="32">
        <f t="shared" si="3"/>
        <v>20</v>
      </c>
      <c r="N73" s="32">
        <f>Promedios!$Z$46*Promedios!$Z$47/D73</f>
        <v>450</v>
      </c>
      <c r="O73" s="32">
        <f t="shared" si="4"/>
        <v>5.7251132523484136</v>
      </c>
      <c r="P73" s="63">
        <f t="shared" si="6"/>
        <v>0</v>
      </c>
    </row>
    <row r="74" spans="2:16" x14ac:dyDescent="0.25">
      <c r="B74" s="31" t="str">
        <f t="shared" si="0"/>
        <v>I</v>
      </c>
      <c r="C74" s="30">
        <f t="shared" si="1"/>
        <v>25</v>
      </c>
      <c r="D74" s="30">
        <f>IF(ISERROR(3600*Promedios!$Z$46*G34/E34),1,3600*Promedios!$Z$46*G34/E34)</f>
        <v>3000</v>
      </c>
      <c r="E74" s="30">
        <f>I34/(H34*Promedios!$Z$47)</f>
        <v>8.861940298507462E-4</v>
      </c>
      <c r="F74" s="30">
        <f>J34/((D74/K34)*Promedios!$Z$47)</f>
        <v>3.2666666666666669E-3</v>
      </c>
      <c r="G74" s="30">
        <f>(L34/M34)/(Promedios!$Z$47)</f>
        <v>2.75E-2</v>
      </c>
      <c r="H74" s="30">
        <f>N34/Promedios!$Z$47</f>
        <v>6.152777777777777E-3</v>
      </c>
      <c r="I74" s="30">
        <f t="shared" si="5"/>
        <v>4</v>
      </c>
      <c r="J74" s="30">
        <f>O34/H34/Promedios!$Z$47</f>
        <v>7.877280265339967E-4</v>
      </c>
      <c r="K74" s="30">
        <f>Q34/(Promedios!$Z$47*(D74))</f>
        <v>5.0000000000000001E-4</v>
      </c>
      <c r="L74" s="30">
        <f t="shared" si="2"/>
        <v>3.9093366500829188E-2</v>
      </c>
      <c r="M74" s="30">
        <f t="shared" si="3"/>
        <v>25</v>
      </c>
      <c r="N74" s="30">
        <f>Promedios!$Z$46*Promedios!$Z$47/D74</f>
        <v>0.15</v>
      </c>
      <c r="O74" s="30">
        <f t="shared" si="4"/>
        <v>3.9093366500829188E-2</v>
      </c>
      <c r="P74" s="62">
        <f t="shared" si="6"/>
        <v>0.26062244333886125</v>
      </c>
    </row>
    <row r="75" spans="2:16" x14ac:dyDescent="0.25">
      <c r="B75" s="33" t="str">
        <f t="shared" si="0"/>
        <v>I</v>
      </c>
      <c r="C75" s="32">
        <f t="shared" si="1"/>
        <v>26</v>
      </c>
      <c r="D75" s="32">
        <f>IF(ISERROR(3600*Promedios!$Z$46*G35/E35),1,3600*Promedios!$Z$46*G35/E35)</f>
        <v>1</v>
      </c>
      <c r="E75" s="32">
        <f>I35/(H35*Promedios!$Z$47)</f>
        <v>3.0584202594485978E-4</v>
      </c>
      <c r="F75" s="32">
        <f>J35/((D75/K35)*Promedios!$Z$47)</f>
        <v>9.8000000000000007</v>
      </c>
      <c r="G75" s="32">
        <f>(L35/M35)/(Promedios!$Z$47)</f>
        <v>2.75E-2</v>
      </c>
      <c r="H75" s="32">
        <f>N35/Promedios!$Z$47</f>
        <v>6.152777777777777E-3</v>
      </c>
      <c r="I75" s="32">
        <f t="shared" si="5"/>
        <v>0</v>
      </c>
      <c r="J75" s="32">
        <f>O35/H35/Promedios!$Z$47</f>
        <v>2.7185957861765314E-4</v>
      </c>
      <c r="K75" s="32">
        <f>Q35/(Promedios!$Z$47*(D75))</f>
        <v>1.5</v>
      </c>
      <c r="L75" s="32">
        <f t="shared" si="2"/>
        <v>11.334230479382342</v>
      </c>
      <c r="M75" s="32">
        <f t="shared" si="3"/>
        <v>26</v>
      </c>
      <c r="N75" s="32">
        <f>Promedios!$Z$46*Promedios!$Z$47/D75</f>
        <v>450</v>
      </c>
      <c r="O75" s="32">
        <f t="shared" si="4"/>
        <v>11.334230479382342</v>
      </c>
      <c r="P75" s="63">
        <f t="shared" si="6"/>
        <v>0</v>
      </c>
    </row>
    <row r="76" spans="2:16" x14ac:dyDescent="0.25">
      <c r="B76" s="31" t="str">
        <f t="shared" si="0"/>
        <v>I</v>
      </c>
      <c r="C76" s="30">
        <f t="shared" si="1"/>
        <v>27</v>
      </c>
      <c r="D76" s="30">
        <f>IF(ISERROR(3600*Promedios!$Z$46*G36/E36),1,3600*Promedios!$Z$46*G36/E36)</f>
        <v>1</v>
      </c>
      <c r="E76" s="30">
        <f>I36/(H36*Promedios!$Z$47)</f>
        <v>5.9181602975989182E-4</v>
      </c>
      <c r="F76" s="30">
        <f>J36/((D76/K36)*Promedios!$Z$47)</f>
        <v>9.8000000000000007</v>
      </c>
      <c r="G76" s="30">
        <f>(L36/M36)/(Promedios!$Z$47)</f>
        <v>2.75E-2</v>
      </c>
      <c r="H76" s="30">
        <f>N36/Promedios!$Z$47</f>
        <v>6.152777777777777E-3</v>
      </c>
      <c r="I76" s="30">
        <f t="shared" si="5"/>
        <v>0</v>
      </c>
      <c r="J76" s="30">
        <f>O36/H36/Promedios!$Z$47</f>
        <v>5.2605869311990385E-4</v>
      </c>
      <c r="K76" s="30">
        <f>Q36/(Promedios!$Z$47*(D76))</f>
        <v>1.5</v>
      </c>
      <c r="L76" s="30">
        <f t="shared" si="2"/>
        <v>11.334770652500657</v>
      </c>
      <c r="M76" s="30">
        <f t="shared" si="3"/>
        <v>27</v>
      </c>
      <c r="N76" s="30">
        <f>Promedios!$Z$46*Promedios!$Z$47/D76</f>
        <v>450</v>
      </c>
      <c r="O76" s="30">
        <f t="shared" si="4"/>
        <v>11.334770652500657</v>
      </c>
      <c r="P76" s="62">
        <f t="shared" si="6"/>
        <v>0</v>
      </c>
    </row>
    <row r="77" spans="2:16" x14ac:dyDescent="0.25">
      <c r="B77" s="33" t="str">
        <f t="shared" si="0"/>
        <v>I</v>
      </c>
      <c r="C77" s="32">
        <f t="shared" si="1"/>
        <v>28</v>
      </c>
      <c r="D77" s="32">
        <f>IF(ISERROR(3600*Promedios!$Z$46*G37/E37),1,3600*Promedios!$Z$46*G37/E37)</f>
        <v>3941.6058394160586</v>
      </c>
      <c r="E77" s="32">
        <f>I37/(H37*Promedios!$Z$47)</f>
        <v>4.7064533280575713E-4</v>
      </c>
      <c r="F77" s="32">
        <f>J37/((D77/K37)*Promedios!$Z$47)</f>
        <v>1.775925925925926E-3</v>
      </c>
      <c r="G77" s="32">
        <f>(L37/M37)/(Promedios!$Z$47)</f>
        <v>2.1666666666666667E-2</v>
      </c>
      <c r="H77" s="32">
        <f>N37/Promedios!$Z$47</f>
        <v>0</v>
      </c>
      <c r="I77" s="32">
        <f t="shared" si="5"/>
        <v>2</v>
      </c>
      <c r="J77" s="32">
        <f>O37/H37/Promedios!$Z$47</f>
        <v>4.1835140693845078E-4</v>
      </c>
      <c r="K77" s="32">
        <f>Q37/(Promedios!$Z$47*(D77))</f>
        <v>3.8055555555555553E-4</v>
      </c>
      <c r="L77" s="32">
        <f t="shared" si="2"/>
        <v>2.4712144887892359E-2</v>
      </c>
      <c r="M77" s="32">
        <f t="shared" si="3"/>
        <v>28</v>
      </c>
      <c r="N77" s="32">
        <f>Promedios!$Z$46*Promedios!$Z$47/D77</f>
        <v>0.11416666666666667</v>
      </c>
      <c r="O77" s="32">
        <f t="shared" si="4"/>
        <v>2.4712144887892359E-2</v>
      </c>
      <c r="P77" s="63">
        <f t="shared" si="6"/>
        <v>0.21645674354358271</v>
      </c>
    </row>
    <row r="78" spans="2:16" x14ac:dyDescent="0.25">
      <c r="B78" s="31" t="str">
        <f t="shared" si="0"/>
        <v>I</v>
      </c>
      <c r="C78" s="30">
        <f t="shared" si="1"/>
        <v>31</v>
      </c>
      <c r="D78" s="30">
        <f>IF(ISERROR(3600*Promedios!$Z$46*G38/E38),1,3600*Promedios!$Z$46*G38/E38)</f>
        <v>3068.181818181818</v>
      </c>
      <c r="E78" s="30">
        <f>I38/(H38*Promedios!$Z$47)</f>
        <v>8.2063962504738599E-4</v>
      </c>
      <c r="F78" s="30">
        <f>J38/((D78/K38)*Promedios!$Z$47)</f>
        <v>1.8251851851851851E-3</v>
      </c>
      <c r="G78" s="30">
        <f>(L38/M38)/(Promedios!$Z$47)</f>
        <v>2.5666666666666667E-2</v>
      </c>
      <c r="H78" s="30">
        <f>N38/Promedios!$Z$47</f>
        <v>2.1564814814814814E-3</v>
      </c>
      <c r="I78" s="30">
        <f t="shared" si="5"/>
        <v>3</v>
      </c>
      <c r="J78" s="30">
        <f>O38/H38/Promedios!$Z$47</f>
        <v>7.2945744448656526E-4</v>
      </c>
      <c r="K78" s="30">
        <f>Q38/(Promedios!$Z$47*(D78))</f>
        <v>4.8888888888888886E-4</v>
      </c>
      <c r="L78" s="30">
        <f t="shared" si="2"/>
        <v>3.1687319291756173E-2</v>
      </c>
      <c r="M78" s="30">
        <f t="shared" si="3"/>
        <v>31</v>
      </c>
      <c r="N78" s="30">
        <f>Promedios!$Z$46*Promedios!$Z$47/D78</f>
        <v>0.14666666666666667</v>
      </c>
      <c r="O78" s="30">
        <f t="shared" si="4"/>
        <v>3.1687319291756173E-2</v>
      </c>
      <c r="P78" s="62">
        <f t="shared" si="6"/>
        <v>0.2160499042619739</v>
      </c>
    </row>
    <row r="79" spans="2:16" x14ac:dyDescent="0.25">
      <c r="B79" s="33" t="str">
        <f t="shared" si="0"/>
        <v>I</v>
      </c>
      <c r="C79" s="32">
        <f t="shared" si="1"/>
        <v>32</v>
      </c>
      <c r="D79" s="32">
        <f>IF(ISERROR(3600*Promedios!$Z$46*G39/E39),1,3600*Promedios!$Z$46*G39/E39)</f>
        <v>3951.2195121951218</v>
      </c>
      <c r="E79" s="32">
        <f>I39/(H39*Promedios!$Z$47)</f>
        <v>7.1372914697391619E-4</v>
      </c>
      <c r="F79" s="32">
        <f>J39/((D79/K39)*Promedios!$Z$47)</f>
        <v>1.417283950617284E-3</v>
      </c>
      <c r="G79" s="32">
        <f>(L39/M39)/(Promedios!$Z$47)</f>
        <v>2.5666666666666667E-2</v>
      </c>
      <c r="H79" s="32">
        <f>N39/Promedios!$Z$47</f>
        <v>2.1564814814814814E-3</v>
      </c>
      <c r="I79" s="32">
        <f t="shared" si="5"/>
        <v>4</v>
      </c>
      <c r="J79" s="32">
        <f>O39/H39/Promedios!$Z$47</f>
        <v>6.3442590842125888E-4</v>
      </c>
      <c r="K79" s="32">
        <f>Q39/(Promedios!$Z$47*(D79))</f>
        <v>3.7962962962962966E-4</v>
      </c>
      <c r="L79" s="32">
        <f t="shared" si="2"/>
        <v>3.0968216783790237E-2</v>
      </c>
      <c r="M79" s="32">
        <f t="shared" si="3"/>
        <v>32</v>
      </c>
      <c r="N79" s="32">
        <f>Promedios!$Z$46*Promedios!$Z$47/D79</f>
        <v>0.1138888888888889</v>
      </c>
      <c r="O79" s="32">
        <f t="shared" si="4"/>
        <v>3.0968216783790237E-2</v>
      </c>
      <c r="P79" s="63">
        <f t="shared" si="6"/>
        <v>0.27191604980888984</v>
      </c>
    </row>
    <row r="80" spans="2:16" x14ac:dyDescent="0.25">
      <c r="B80" s="31" t="str">
        <f t="shared" si="0"/>
        <v>I</v>
      </c>
      <c r="C80" s="30">
        <f t="shared" si="1"/>
        <v>33</v>
      </c>
      <c r="D80" s="30">
        <f>IF(ISERROR(3600*Promedios!$Z$46*G40/E40),1,3600*Promedios!$Z$46*G40/E40)</f>
        <v>22401.746724890832</v>
      </c>
      <c r="E80" s="30">
        <f>I40/(H40*Promedios!$Z$47)</f>
        <v>7.5000000000000002E-4</v>
      </c>
      <c r="F80" s="30">
        <f>J40/((D80/K40)*Promedios!$Z$47)</f>
        <v>2.4998050682261205E-4</v>
      </c>
      <c r="G80" s="30">
        <f>(L40/M40)/(Promedios!$Z$47)</f>
        <v>8.3333333333333332E-3</v>
      </c>
      <c r="H80" s="30">
        <f>N40/Promedios!$Z$47</f>
        <v>0</v>
      </c>
      <c r="I80" s="30">
        <f t="shared" si="5"/>
        <v>22</v>
      </c>
      <c r="J80" s="30">
        <f>O40/H40/Promedios!$Z$47</f>
        <v>6.6666666666666664E-4</v>
      </c>
      <c r="K80" s="30">
        <f>Q40/(Promedios!$Z$47*(D80))</f>
        <v>6.6959064327485376E-5</v>
      </c>
      <c r="L80" s="30">
        <f t="shared" si="2"/>
        <v>1.0066939571150098E-2</v>
      </c>
      <c r="M80" s="30">
        <f t="shared" si="3"/>
        <v>33</v>
      </c>
      <c r="N80" s="30">
        <f>Promedios!$Z$46*Promedios!$Z$47/D80</f>
        <v>2.0087719298245613E-2</v>
      </c>
      <c r="O80" s="30">
        <f t="shared" si="4"/>
        <v>1.0066939571150098E-2</v>
      </c>
      <c r="P80" s="62">
        <f t="shared" si="6"/>
        <v>0.50114895681707916</v>
      </c>
    </row>
    <row r="81" spans="2:17" ht="15.75" thickBot="1" x14ac:dyDescent="0.3">
      <c r="B81" s="29" t="str">
        <f t="shared" si="0"/>
        <v>I</v>
      </c>
      <c r="C81" s="28">
        <f t="shared" si="1"/>
        <v>36</v>
      </c>
      <c r="D81" s="28">
        <f>IF(ISERROR(3600*Promedios!$Z$46*G41/E41),1,3600*Promedios!$Z$46*G41/E41)</f>
        <v>17647.058823529413</v>
      </c>
      <c r="E81" s="28">
        <f>I41/(H41*Promedios!$Z$47)</f>
        <v>2.4610997088444467E-4</v>
      </c>
      <c r="F81" s="28">
        <f>J41/((D81/K41)*Promedios!$Z$47)</f>
        <v>3.1733333333333331E-4</v>
      </c>
      <c r="G81" s="28">
        <f>(L41/M41)/(Promedios!$Z$47)</f>
        <v>2.75E-2</v>
      </c>
      <c r="H81" s="28">
        <f>N41/Promedios!$Z$47</f>
        <v>6.152777777777777E-3</v>
      </c>
      <c r="I81" s="28">
        <f t="shared" si="5"/>
        <v>6</v>
      </c>
      <c r="J81" s="28">
        <f>O41/H41/Promedios!$Z$47</f>
        <v>2.1876441856395079E-4</v>
      </c>
      <c r="K81" s="28">
        <f>Q41/(Promedios!$Z$47*(D81))</f>
        <v>8.4999999999999993E-5</v>
      </c>
      <c r="L81" s="28">
        <f t="shared" si="2"/>
        <v>3.4519985500559507E-2</v>
      </c>
      <c r="M81" s="28">
        <f t="shared" si="3"/>
        <v>36</v>
      </c>
      <c r="N81" s="28">
        <f>Promedios!$Z$46*Promedios!$Z$47/D81</f>
        <v>2.5499999999999998E-2</v>
      </c>
      <c r="O81" s="28">
        <f t="shared" si="4"/>
        <v>3.4519985500559507E-2</v>
      </c>
      <c r="P81" s="61">
        <f t="shared" si="6"/>
        <v>1.3537249215905689</v>
      </c>
      <c r="Q81">
        <f>SUM(P59:P81)</f>
        <v>4.9324817830929879</v>
      </c>
    </row>
    <row r="83" spans="2:17" x14ac:dyDescent="0.25">
      <c r="P83">
        <f>SUM(P45:P81)</f>
        <v>10.863701942354062</v>
      </c>
    </row>
    <row r="84" spans="2:17" x14ac:dyDescent="0.25">
      <c r="B84" s="122" t="s">
        <v>15</v>
      </c>
      <c r="C84" s="122"/>
      <c r="D84" s="122"/>
      <c r="E84" s="122"/>
      <c r="F84" s="27">
        <v>1</v>
      </c>
    </row>
  </sheetData>
  <sheetProtection password="E700" sheet="1" objects="1" scenarios="1"/>
  <mergeCells count="2">
    <mergeCell ref="M43:P43"/>
    <mergeCell ref="B84:E8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1:X135"/>
  <sheetViews>
    <sheetView zoomScale="80" zoomScaleNormal="80" workbookViewId="0">
      <selection activeCell="S90" sqref="S90"/>
    </sheetView>
  </sheetViews>
  <sheetFormatPr baseColWidth="10" defaultColWidth="11.42578125" defaultRowHeight="15" x14ac:dyDescent="0.25"/>
  <cols>
    <col min="3" max="3" width="29.5703125" customWidth="1"/>
    <col min="19" max="19" width="19.140625" bestFit="1" customWidth="1"/>
    <col min="20" max="20" width="22.7109375" bestFit="1" customWidth="1"/>
  </cols>
  <sheetData>
    <row r="1" spans="2:17" x14ac:dyDescent="0.25">
      <c r="E1" s="1"/>
      <c r="F1" s="1"/>
    </row>
    <row r="2" spans="2:17" x14ac:dyDescent="0.25">
      <c r="E2" s="1"/>
      <c r="F2" s="1"/>
    </row>
    <row r="3" spans="2:17" ht="15.75" thickBot="1" x14ac:dyDescent="0.3"/>
    <row r="4" spans="2:17" ht="75.75" thickBot="1" x14ac:dyDescent="0.3">
      <c r="B4" s="25" t="s">
        <v>13</v>
      </c>
      <c r="C4" s="24" t="s">
        <v>41</v>
      </c>
      <c r="D4" s="24" t="s">
        <v>12</v>
      </c>
      <c r="E4" s="23" t="s">
        <v>11</v>
      </c>
      <c r="F4" s="23" t="s">
        <v>10</v>
      </c>
      <c r="G4" s="23" t="s">
        <v>9</v>
      </c>
      <c r="H4" s="24" t="s">
        <v>40</v>
      </c>
      <c r="I4" s="24" t="s">
        <v>39</v>
      </c>
      <c r="J4" s="24" t="s">
        <v>38</v>
      </c>
      <c r="K4" s="24" t="s">
        <v>37</v>
      </c>
      <c r="L4" s="24" t="s">
        <v>36</v>
      </c>
      <c r="M4" s="24" t="s">
        <v>35</v>
      </c>
      <c r="N4" s="24" t="s">
        <v>34</v>
      </c>
      <c r="O4" s="24" t="s">
        <v>33</v>
      </c>
      <c r="P4" s="24" t="s">
        <v>32</v>
      </c>
      <c r="Q4" s="58" t="s">
        <v>31</v>
      </c>
    </row>
    <row r="5" spans="2:17" ht="15.75" thickBot="1" x14ac:dyDescent="0.3">
      <c r="B5" s="91" t="s">
        <v>8</v>
      </c>
      <c r="C5" s="89" t="s">
        <v>112</v>
      </c>
      <c r="D5" s="89">
        <v>1</v>
      </c>
      <c r="E5" s="89">
        <v>1</v>
      </c>
      <c r="F5" s="89">
        <v>0</v>
      </c>
      <c r="G5" s="89">
        <v>0</v>
      </c>
      <c r="H5" s="90">
        <v>4774</v>
      </c>
      <c r="I5" s="90">
        <v>68</v>
      </c>
      <c r="J5" s="90">
        <v>50</v>
      </c>
      <c r="K5" s="90">
        <v>3</v>
      </c>
      <c r="L5" s="90">
        <v>1.7</v>
      </c>
      <c r="M5" s="90">
        <v>1</v>
      </c>
      <c r="N5" s="90">
        <v>1.3</v>
      </c>
      <c r="O5" s="90">
        <v>192.5</v>
      </c>
      <c r="P5" s="90">
        <v>2</v>
      </c>
      <c r="Q5" s="107">
        <v>90</v>
      </c>
    </row>
    <row r="6" spans="2:17" x14ac:dyDescent="0.25">
      <c r="B6" s="87" t="s">
        <v>8</v>
      </c>
      <c r="C6" s="85" t="s">
        <v>111</v>
      </c>
      <c r="D6" s="85" t="s">
        <v>5</v>
      </c>
      <c r="E6" s="85">
        <v>18.399999999999999</v>
      </c>
      <c r="F6" s="85">
        <v>4</v>
      </c>
      <c r="G6" s="85">
        <v>4</v>
      </c>
      <c r="H6" s="86">
        <v>368.09433962264148</v>
      </c>
      <c r="I6" s="85">
        <v>68</v>
      </c>
      <c r="J6" s="85">
        <v>50</v>
      </c>
      <c r="K6" s="85">
        <v>3</v>
      </c>
      <c r="L6" s="85">
        <v>4.41</v>
      </c>
      <c r="M6" s="85">
        <v>1</v>
      </c>
      <c r="N6" s="85">
        <v>1.4</v>
      </c>
      <c r="O6" s="85">
        <v>193.5</v>
      </c>
      <c r="P6" s="85">
        <v>2</v>
      </c>
      <c r="Q6" s="84">
        <v>90</v>
      </c>
    </row>
    <row r="7" spans="2:17" ht="15.75" thickBot="1" x14ac:dyDescent="0.3">
      <c r="B7" s="83" t="s">
        <v>8</v>
      </c>
      <c r="C7" s="81" t="s">
        <v>74</v>
      </c>
      <c r="D7" s="81" t="s">
        <v>5</v>
      </c>
      <c r="E7" s="81">
        <v>17.600000000000001</v>
      </c>
      <c r="F7" s="81">
        <v>2</v>
      </c>
      <c r="G7" s="81">
        <v>2</v>
      </c>
      <c r="H7" s="82">
        <v>368.09433962264148</v>
      </c>
      <c r="I7" s="81">
        <v>68</v>
      </c>
      <c r="J7" s="81">
        <v>50</v>
      </c>
      <c r="K7" s="81">
        <v>3</v>
      </c>
      <c r="L7" s="81">
        <v>4.41</v>
      </c>
      <c r="M7" s="81">
        <v>1</v>
      </c>
      <c r="N7" s="81">
        <v>1.4</v>
      </c>
      <c r="O7" s="81">
        <v>193.5</v>
      </c>
      <c r="P7" s="81">
        <v>2</v>
      </c>
      <c r="Q7" s="80">
        <v>90</v>
      </c>
    </row>
    <row r="8" spans="2:17" x14ac:dyDescent="0.25">
      <c r="B8" s="16" t="s">
        <v>8</v>
      </c>
      <c r="C8" s="5" t="s">
        <v>69</v>
      </c>
      <c r="D8" s="5">
        <v>2</v>
      </c>
      <c r="E8" s="5">
        <v>12.7</v>
      </c>
      <c r="F8" s="5">
        <v>1</v>
      </c>
      <c r="G8" s="5">
        <v>1</v>
      </c>
      <c r="H8" s="55">
        <v>327.09302325581393</v>
      </c>
      <c r="I8" s="5">
        <v>30</v>
      </c>
      <c r="J8" s="5">
        <v>50</v>
      </c>
      <c r="K8" s="5">
        <v>3</v>
      </c>
      <c r="L8" s="5">
        <v>4.7</v>
      </c>
      <c r="M8" s="5">
        <v>1</v>
      </c>
      <c r="N8" s="5">
        <v>0</v>
      </c>
      <c r="O8" s="5">
        <v>40</v>
      </c>
      <c r="P8" s="5">
        <v>2</v>
      </c>
      <c r="Q8" s="4">
        <v>90</v>
      </c>
    </row>
    <row r="9" spans="2:17" ht="15.75" thickBot="1" x14ac:dyDescent="0.3">
      <c r="B9" s="12" t="s">
        <v>8</v>
      </c>
      <c r="C9" s="11" t="s">
        <v>73</v>
      </c>
      <c r="D9" s="11">
        <v>2</v>
      </c>
      <c r="E9" s="11">
        <v>12.7</v>
      </c>
      <c r="F9" s="11">
        <v>1</v>
      </c>
      <c r="G9" s="11">
        <v>1</v>
      </c>
      <c r="H9" s="68">
        <v>327.09302325581393</v>
      </c>
      <c r="I9" s="11">
        <v>30</v>
      </c>
      <c r="J9" s="11">
        <v>50</v>
      </c>
      <c r="K9" s="11">
        <v>3</v>
      </c>
      <c r="L9" s="11">
        <v>4.7</v>
      </c>
      <c r="M9" s="11">
        <v>1</v>
      </c>
      <c r="N9" s="11">
        <v>0</v>
      </c>
      <c r="O9" s="11">
        <v>40</v>
      </c>
      <c r="P9" s="11">
        <v>2</v>
      </c>
      <c r="Q9" s="67">
        <v>90</v>
      </c>
    </row>
    <row r="10" spans="2:17" x14ac:dyDescent="0.25">
      <c r="B10" s="87" t="s">
        <v>8</v>
      </c>
      <c r="C10" s="85" t="s">
        <v>72</v>
      </c>
      <c r="D10" s="85">
        <v>3</v>
      </c>
      <c r="E10" s="85">
        <v>13.2</v>
      </c>
      <c r="F10" s="85">
        <v>1</v>
      </c>
      <c r="G10" s="85">
        <v>1</v>
      </c>
      <c r="H10" s="86">
        <v>132.98387096774192</v>
      </c>
      <c r="I10" s="85">
        <v>30</v>
      </c>
      <c r="J10" s="85">
        <v>50</v>
      </c>
      <c r="K10" s="85">
        <v>3</v>
      </c>
      <c r="L10" s="85">
        <v>4.8</v>
      </c>
      <c r="M10" s="85">
        <v>1</v>
      </c>
      <c r="N10" s="85">
        <v>0</v>
      </c>
      <c r="O10" s="85">
        <v>40</v>
      </c>
      <c r="P10" s="85">
        <v>2</v>
      </c>
      <c r="Q10" s="84">
        <v>90</v>
      </c>
    </row>
    <row r="11" spans="2:17" ht="15.75" thickBot="1" x14ac:dyDescent="0.3">
      <c r="B11" s="83" t="s">
        <v>8</v>
      </c>
      <c r="C11" s="81" t="s">
        <v>110</v>
      </c>
      <c r="D11" s="81">
        <v>3</v>
      </c>
      <c r="E11" s="81">
        <v>14.5</v>
      </c>
      <c r="F11" s="81">
        <v>2</v>
      </c>
      <c r="G11" s="81">
        <v>2</v>
      </c>
      <c r="H11" s="82">
        <v>132.98387096774192</v>
      </c>
      <c r="I11" s="81">
        <v>30</v>
      </c>
      <c r="J11" s="81">
        <v>50</v>
      </c>
      <c r="K11" s="81">
        <v>3</v>
      </c>
      <c r="L11" s="81">
        <v>4.4000000000000004</v>
      </c>
      <c r="M11" s="81">
        <v>1</v>
      </c>
      <c r="N11" s="81">
        <v>0</v>
      </c>
      <c r="O11" s="81">
        <v>40</v>
      </c>
      <c r="P11" s="81">
        <v>2</v>
      </c>
      <c r="Q11" s="80">
        <v>90</v>
      </c>
    </row>
    <row r="12" spans="2:17" x14ac:dyDescent="0.25">
      <c r="B12" s="22" t="s">
        <v>8</v>
      </c>
      <c r="C12" s="21" t="s">
        <v>71</v>
      </c>
      <c r="D12" s="21">
        <v>4</v>
      </c>
      <c r="E12" s="21">
        <v>20.2</v>
      </c>
      <c r="F12" s="21">
        <v>1</v>
      </c>
      <c r="G12" s="21">
        <v>1</v>
      </c>
      <c r="H12" s="57">
        <v>60.163424124513618</v>
      </c>
      <c r="I12" s="21">
        <v>30</v>
      </c>
      <c r="J12" s="21">
        <v>50</v>
      </c>
      <c r="K12" s="21">
        <v>3</v>
      </c>
      <c r="L12" s="21">
        <v>4.7</v>
      </c>
      <c r="M12" s="21">
        <v>1</v>
      </c>
      <c r="N12" s="21">
        <v>0</v>
      </c>
      <c r="O12" s="21">
        <v>40</v>
      </c>
      <c r="P12" s="21">
        <v>2</v>
      </c>
      <c r="Q12" s="69">
        <v>90</v>
      </c>
    </row>
    <row r="13" spans="2:17" ht="15.75" thickBot="1" x14ac:dyDescent="0.3">
      <c r="B13" s="12" t="s">
        <v>8</v>
      </c>
      <c r="C13" s="11" t="s">
        <v>109</v>
      </c>
      <c r="D13" s="11">
        <v>4</v>
      </c>
      <c r="E13" s="11">
        <v>22.9</v>
      </c>
      <c r="F13" s="11">
        <v>2</v>
      </c>
      <c r="G13" s="11">
        <v>2</v>
      </c>
      <c r="H13" s="68">
        <v>60.163424124513618</v>
      </c>
      <c r="I13" s="11">
        <v>30</v>
      </c>
      <c r="J13" s="11">
        <v>50</v>
      </c>
      <c r="K13" s="11">
        <v>3</v>
      </c>
      <c r="L13" s="11">
        <v>4.7</v>
      </c>
      <c r="M13" s="11">
        <v>1</v>
      </c>
      <c r="N13" s="11">
        <v>0</v>
      </c>
      <c r="O13" s="11">
        <v>40</v>
      </c>
      <c r="P13" s="11">
        <v>2</v>
      </c>
      <c r="Q13" s="67">
        <v>90</v>
      </c>
    </row>
    <row r="14" spans="2:17" x14ac:dyDescent="0.25">
      <c r="B14" s="87" t="s">
        <v>8</v>
      </c>
      <c r="C14" s="85" t="s">
        <v>108</v>
      </c>
      <c r="D14" s="85">
        <v>5</v>
      </c>
      <c r="E14" s="85">
        <v>13.7</v>
      </c>
      <c r="F14" s="85">
        <v>2</v>
      </c>
      <c r="G14" s="85">
        <v>2</v>
      </c>
      <c r="H14" s="86">
        <v>129.82580645161289</v>
      </c>
      <c r="I14" s="85">
        <v>30</v>
      </c>
      <c r="J14" s="85">
        <v>50</v>
      </c>
      <c r="K14" s="85">
        <v>3</v>
      </c>
      <c r="L14" s="85">
        <v>4.63</v>
      </c>
      <c r="M14" s="85">
        <v>1</v>
      </c>
      <c r="N14" s="85">
        <v>0</v>
      </c>
      <c r="O14" s="85">
        <v>40</v>
      </c>
      <c r="P14" s="85">
        <v>2</v>
      </c>
      <c r="Q14" s="84">
        <v>90</v>
      </c>
    </row>
    <row r="15" spans="2:17" ht="15.75" thickBot="1" x14ac:dyDescent="0.3">
      <c r="B15" s="83" t="s">
        <v>8</v>
      </c>
      <c r="C15" s="81" t="s">
        <v>106</v>
      </c>
      <c r="D15" s="81">
        <v>5</v>
      </c>
      <c r="E15" s="81">
        <v>10</v>
      </c>
      <c r="F15" s="81">
        <v>1</v>
      </c>
      <c r="G15" s="81">
        <v>1</v>
      </c>
      <c r="H15" s="82">
        <v>129.82580645161289</v>
      </c>
      <c r="I15" s="81">
        <v>30</v>
      </c>
      <c r="J15" s="81">
        <v>50</v>
      </c>
      <c r="K15" s="81">
        <v>3</v>
      </c>
      <c r="L15" s="81">
        <v>4.63</v>
      </c>
      <c r="M15" s="81">
        <v>1</v>
      </c>
      <c r="N15" s="81">
        <v>0</v>
      </c>
      <c r="O15" s="81">
        <v>40</v>
      </c>
      <c r="P15" s="81">
        <v>2</v>
      </c>
      <c r="Q15" s="80">
        <v>90</v>
      </c>
    </row>
    <row r="16" spans="2:17" x14ac:dyDescent="0.25">
      <c r="B16" s="22" t="s">
        <v>8</v>
      </c>
      <c r="C16" s="21" t="s">
        <v>70</v>
      </c>
      <c r="D16" s="21">
        <v>6</v>
      </c>
      <c r="E16" s="21">
        <v>26.9</v>
      </c>
      <c r="F16" s="21">
        <v>2</v>
      </c>
      <c r="G16" s="21">
        <v>2</v>
      </c>
      <c r="H16" s="57">
        <v>484.56065573770491</v>
      </c>
      <c r="I16" s="21">
        <v>30</v>
      </c>
      <c r="J16" s="21">
        <v>50</v>
      </c>
      <c r="K16" s="21">
        <v>3</v>
      </c>
      <c r="L16" s="21">
        <v>5</v>
      </c>
      <c r="M16" s="21">
        <v>1</v>
      </c>
      <c r="N16" s="21">
        <v>0</v>
      </c>
      <c r="O16" s="21">
        <v>40</v>
      </c>
      <c r="P16" s="21">
        <v>2</v>
      </c>
      <c r="Q16" s="69">
        <v>90</v>
      </c>
    </row>
    <row r="17" spans="2:17" ht="15.75" thickBot="1" x14ac:dyDescent="0.3">
      <c r="B17" s="16" t="s">
        <v>8</v>
      </c>
      <c r="C17" s="5" t="s">
        <v>107</v>
      </c>
      <c r="D17" s="5">
        <v>6</v>
      </c>
      <c r="E17" s="5">
        <v>26.9</v>
      </c>
      <c r="F17" s="5">
        <v>2</v>
      </c>
      <c r="G17" s="5">
        <v>2</v>
      </c>
      <c r="H17" s="55">
        <v>484.56065573770491</v>
      </c>
      <c r="I17" s="5">
        <v>30</v>
      </c>
      <c r="J17" s="5">
        <v>50</v>
      </c>
      <c r="K17" s="5">
        <v>3</v>
      </c>
      <c r="L17" s="5">
        <v>5</v>
      </c>
      <c r="M17" s="5">
        <v>1</v>
      </c>
      <c r="N17" s="5">
        <v>0</v>
      </c>
      <c r="O17" s="5">
        <v>40</v>
      </c>
      <c r="P17" s="5">
        <v>2</v>
      </c>
      <c r="Q17" s="4">
        <v>90</v>
      </c>
    </row>
    <row r="18" spans="2:17" x14ac:dyDescent="0.25">
      <c r="B18" s="87" t="s">
        <v>8</v>
      </c>
      <c r="C18" s="85" t="s">
        <v>106</v>
      </c>
      <c r="D18" s="85">
        <v>7</v>
      </c>
      <c r="E18" s="85">
        <v>19.7</v>
      </c>
      <c r="F18" s="85">
        <v>2</v>
      </c>
      <c r="G18" s="85">
        <v>2</v>
      </c>
      <c r="H18" s="86">
        <v>138.90681003584228</v>
      </c>
      <c r="I18" s="85">
        <v>30</v>
      </c>
      <c r="J18" s="85">
        <v>50</v>
      </c>
      <c r="K18" s="85">
        <v>3</v>
      </c>
      <c r="L18" s="85">
        <v>5.63</v>
      </c>
      <c r="M18" s="85">
        <v>1</v>
      </c>
      <c r="N18" s="85">
        <v>0</v>
      </c>
      <c r="O18" s="85">
        <v>40</v>
      </c>
      <c r="P18" s="85">
        <v>2</v>
      </c>
      <c r="Q18" s="84">
        <v>90</v>
      </c>
    </row>
    <row r="19" spans="2:17" x14ac:dyDescent="0.25">
      <c r="B19" s="13" t="s">
        <v>8</v>
      </c>
      <c r="C19" s="3" t="s">
        <v>105</v>
      </c>
      <c r="D19" s="3">
        <v>7</v>
      </c>
      <c r="E19" s="3">
        <v>19.7</v>
      </c>
      <c r="F19" s="3">
        <v>2</v>
      </c>
      <c r="G19" s="3">
        <v>2</v>
      </c>
      <c r="H19" s="56">
        <v>138.90681003584228</v>
      </c>
      <c r="I19" s="3">
        <v>30</v>
      </c>
      <c r="J19" s="3">
        <v>50</v>
      </c>
      <c r="K19" s="3">
        <v>3</v>
      </c>
      <c r="L19" s="3">
        <v>5.63</v>
      </c>
      <c r="M19" s="3">
        <v>1</v>
      </c>
      <c r="N19" s="3">
        <v>0</v>
      </c>
      <c r="O19" s="3">
        <v>40</v>
      </c>
      <c r="P19" s="3">
        <v>2</v>
      </c>
      <c r="Q19" s="2">
        <v>90</v>
      </c>
    </row>
    <row r="20" spans="2:17" ht="15.75" thickBot="1" x14ac:dyDescent="0.3">
      <c r="B20" s="83" t="s">
        <v>8</v>
      </c>
      <c r="C20" s="81" t="s">
        <v>104</v>
      </c>
      <c r="D20" s="81">
        <v>7</v>
      </c>
      <c r="E20" s="81">
        <v>17.600000000000001</v>
      </c>
      <c r="F20" s="81">
        <v>1</v>
      </c>
      <c r="G20" s="81">
        <v>1</v>
      </c>
      <c r="H20" s="82">
        <v>138.90681003584228</v>
      </c>
      <c r="I20" s="81">
        <v>30</v>
      </c>
      <c r="J20" s="81">
        <v>50</v>
      </c>
      <c r="K20" s="81">
        <v>3</v>
      </c>
      <c r="L20" s="81">
        <v>5.63</v>
      </c>
      <c r="M20" s="81">
        <v>1</v>
      </c>
      <c r="N20" s="81">
        <v>0</v>
      </c>
      <c r="O20" s="81">
        <v>40</v>
      </c>
      <c r="P20" s="81">
        <v>2</v>
      </c>
      <c r="Q20" s="80">
        <v>90</v>
      </c>
    </row>
    <row r="21" spans="2:17" x14ac:dyDescent="0.25">
      <c r="B21" s="16" t="s">
        <v>8</v>
      </c>
      <c r="C21" s="5" t="s">
        <v>103</v>
      </c>
      <c r="D21" s="5">
        <v>9</v>
      </c>
      <c r="E21" s="5">
        <v>17.8</v>
      </c>
      <c r="F21" s="5">
        <v>1</v>
      </c>
      <c r="G21" s="5">
        <v>1</v>
      </c>
      <c r="H21" s="55">
        <v>77.664122137404576</v>
      </c>
      <c r="I21" s="5">
        <v>30</v>
      </c>
      <c r="J21" s="5">
        <v>50</v>
      </c>
      <c r="K21" s="5">
        <v>3</v>
      </c>
      <c r="L21" s="5">
        <v>7</v>
      </c>
      <c r="M21" s="5">
        <v>1</v>
      </c>
      <c r="N21" s="5">
        <v>0</v>
      </c>
      <c r="O21" s="5">
        <v>40</v>
      </c>
      <c r="P21" s="5">
        <v>2</v>
      </c>
      <c r="Q21" s="4">
        <v>90</v>
      </c>
    </row>
    <row r="22" spans="2:17" ht="15.75" thickBot="1" x14ac:dyDescent="0.3">
      <c r="B22" s="16" t="s">
        <v>8</v>
      </c>
      <c r="C22" s="5" t="s">
        <v>102</v>
      </c>
      <c r="D22" s="5">
        <v>9</v>
      </c>
      <c r="E22" s="5">
        <v>17.3</v>
      </c>
      <c r="F22" s="5">
        <v>1</v>
      </c>
      <c r="G22" s="5">
        <v>1</v>
      </c>
      <c r="H22" s="55">
        <v>77.664122137404576</v>
      </c>
      <c r="I22" s="5">
        <v>30</v>
      </c>
      <c r="J22" s="5">
        <v>50</v>
      </c>
      <c r="K22" s="5">
        <v>3</v>
      </c>
      <c r="L22" s="5">
        <v>7</v>
      </c>
      <c r="M22" s="5">
        <v>1</v>
      </c>
      <c r="N22" s="5">
        <v>0</v>
      </c>
      <c r="O22" s="5">
        <v>40</v>
      </c>
      <c r="P22" s="5">
        <v>2</v>
      </c>
      <c r="Q22" s="4">
        <v>90</v>
      </c>
    </row>
    <row r="23" spans="2:17" x14ac:dyDescent="0.25">
      <c r="B23" s="87" t="s">
        <v>7</v>
      </c>
      <c r="C23" s="85" t="s">
        <v>68</v>
      </c>
      <c r="D23" s="85">
        <v>9</v>
      </c>
      <c r="E23" s="85">
        <v>12.4</v>
      </c>
      <c r="F23" s="85">
        <v>3</v>
      </c>
      <c r="G23" s="85">
        <v>3</v>
      </c>
      <c r="H23" s="86">
        <v>629.92700729927003</v>
      </c>
      <c r="I23" s="85">
        <v>45</v>
      </c>
      <c r="J23" s="85">
        <v>50.5</v>
      </c>
      <c r="K23" s="85">
        <v>2</v>
      </c>
      <c r="L23" s="85">
        <v>0.5</v>
      </c>
      <c r="M23" s="85">
        <v>1</v>
      </c>
      <c r="N23" s="85">
        <v>2</v>
      </c>
      <c r="O23" s="85">
        <v>50</v>
      </c>
      <c r="P23" s="85">
        <v>2</v>
      </c>
      <c r="Q23" s="84">
        <v>90</v>
      </c>
    </row>
    <row r="24" spans="2:17" x14ac:dyDescent="0.25">
      <c r="B24" s="13" t="s">
        <v>7</v>
      </c>
      <c r="C24" s="3" t="s">
        <v>101</v>
      </c>
      <c r="D24" s="3">
        <v>9</v>
      </c>
      <c r="E24" s="3">
        <v>9</v>
      </c>
      <c r="F24" s="3">
        <v>1</v>
      </c>
      <c r="G24" s="3">
        <v>1</v>
      </c>
      <c r="H24" s="56">
        <v>629.92700729927003</v>
      </c>
      <c r="I24" s="3">
        <v>45</v>
      </c>
      <c r="J24" s="3">
        <v>50.5</v>
      </c>
      <c r="K24" s="3">
        <v>2</v>
      </c>
      <c r="L24" s="3">
        <v>0.5</v>
      </c>
      <c r="M24" s="3">
        <v>1</v>
      </c>
      <c r="N24" s="3">
        <v>2</v>
      </c>
      <c r="O24" s="3">
        <v>50</v>
      </c>
      <c r="P24" s="3">
        <v>2</v>
      </c>
      <c r="Q24" s="2">
        <v>90</v>
      </c>
    </row>
    <row r="25" spans="2:17" ht="15.75" thickBot="1" x14ac:dyDescent="0.3">
      <c r="B25" s="83" t="s">
        <v>7</v>
      </c>
      <c r="C25" s="81" t="s">
        <v>67</v>
      </c>
      <c r="D25" s="81">
        <v>9</v>
      </c>
      <c r="E25" s="81">
        <v>15.8</v>
      </c>
      <c r="F25" s="81">
        <v>4</v>
      </c>
      <c r="G25" s="81">
        <v>4</v>
      </c>
      <c r="H25" s="82">
        <v>629.92700729927003</v>
      </c>
      <c r="I25" s="81">
        <v>45</v>
      </c>
      <c r="J25" s="81">
        <v>50.5</v>
      </c>
      <c r="K25" s="81">
        <v>2</v>
      </c>
      <c r="L25" s="81">
        <v>0.5</v>
      </c>
      <c r="M25" s="81">
        <v>1</v>
      </c>
      <c r="N25" s="81">
        <v>2</v>
      </c>
      <c r="O25" s="81">
        <v>50</v>
      </c>
      <c r="P25" s="81">
        <v>2</v>
      </c>
      <c r="Q25" s="80">
        <v>90</v>
      </c>
    </row>
    <row r="26" spans="2:17" x14ac:dyDescent="0.25">
      <c r="B26" s="22" t="s">
        <v>7</v>
      </c>
      <c r="C26" s="21" t="s">
        <v>67</v>
      </c>
      <c r="D26" s="21">
        <v>10</v>
      </c>
      <c r="E26" s="21">
        <v>13.9</v>
      </c>
      <c r="F26" s="21">
        <v>4</v>
      </c>
      <c r="G26" s="21">
        <v>4</v>
      </c>
      <c r="H26" s="57">
        <v>456.95652173913044</v>
      </c>
      <c r="I26" s="21">
        <v>45</v>
      </c>
      <c r="J26" s="21">
        <v>50.5</v>
      </c>
      <c r="K26" s="21">
        <v>2</v>
      </c>
      <c r="L26" s="21">
        <v>0.5</v>
      </c>
      <c r="M26" s="21">
        <v>1</v>
      </c>
      <c r="N26" s="21">
        <v>2</v>
      </c>
      <c r="O26" s="21">
        <v>50</v>
      </c>
      <c r="P26" s="21">
        <v>2</v>
      </c>
      <c r="Q26" s="69">
        <v>90</v>
      </c>
    </row>
    <row r="27" spans="2:17" x14ac:dyDescent="0.25">
      <c r="B27" s="16" t="s">
        <v>7</v>
      </c>
      <c r="C27" s="5" t="s">
        <v>100</v>
      </c>
      <c r="D27" s="5">
        <v>10</v>
      </c>
      <c r="E27" s="5">
        <v>15.1</v>
      </c>
      <c r="F27" s="5">
        <v>2</v>
      </c>
      <c r="G27" s="5">
        <v>2</v>
      </c>
      <c r="H27" s="55">
        <v>456.95652173913044</v>
      </c>
      <c r="I27" s="5">
        <v>45</v>
      </c>
      <c r="J27" s="5">
        <v>50.5</v>
      </c>
      <c r="K27" s="5">
        <v>2</v>
      </c>
      <c r="L27" s="5">
        <v>0.5</v>
      </c>
      <c r="M27" s="5">
        <v>1</v>
      </c>
      <c r="N27" s="5">
        <v>2</v>
      </c>
      <c r="O27" s="5">
        <v>50</v>
      </c>
      <c r="P27" s="5">
        <v>2</v>
      </c>
      <c r="Q27" s="4">
        <v>90</v>
      </c>
    </row>
    <row r="28" spans="2:17" ht="15.75" thickBot="1" x14ac:dyDescent="0.3">
      <c r="B28" s="12" t="s">
        <v>7</v>
      </c>
      <c r="C28" s="11" t="s">
        <v>99</v>
      </c>
      <c r="D28" s="11">
        <v>10</v>
      </c>
      <c r="E28" s="11">
        <v>13.9</v>
      </c>
      <c r="F28" s="11">
        <v>3</v>
      </c>
      <c r="G28" s="11">
        <v>3</v>
      </c>
      <c r="H28" s="68">
        <v>456.95652173913044</v>
      </c>
      <c r="I28" s="11">
        <v>45</v>
      </c>
      <c r="J28" s="11">
        <v>50.5</v>
      </c>
      <c r="K28" s="11">
        <v>2</v>
      </c>
      <c r="L28" s="11">
        <v>0.5</v>
      </c>
      <c r="M28" s="11">
        <v>1</v>
      </c>
      <c r="N28" s="11">
        <v>2</v>
      </c>
      <c r="O28" s="11">
        <v>50</v>
      </c>
      <c r="P28" s="11">
        <v>2</v>
      </c>
      <c r="Q28" s="67">
        <v>90</v>
      </c>
    </row>
    <row r="29" spans="2:17" x14ac:dyDescent="0.25">
      <c r="B29" s="87" t="s">
        <v>7</v>
      </c>
      <c r="C29" s="85" t="s">
        <v>98</v>
      </c>
      <c r="D29" s="85">
        <v>29</v>
      </c>
      <c r="E29" s="85">
        <v>13.6</v>
      </c>
      <c r="F29" s="85">
        <v>3</v>
      </c>
      <c r="G29" s="85">
        <v>3</v>
      </c>
      <c r="H29" s="86">
        <v>461.42307692307691</v>
      </c>
      <c r="I29" s="85">
        <v>45</v>
      </c>
      <c r="J29" s="85">
        <v>50.5</v>
      </c>
      <c r="K29" s="85">
        <v>2</v>
      </c>
      <c r="L29" s="85">
        <v>0.5</v>
      </c>
      <c r="M29" s="85">
        <v>1</v>
      </c>
      <c r="N29" s="85">
        <v>2</v>
      </c>
      <c r="O29" s="85">
        <v>50</v>
      </c>
      <c r="P29" s="85">
        <v>2</v>
      </c>
      <c r="Q29" s="84">
        <v>90</v>
      </c>
    </row>
    <row r="30" spans="2:17" ht="15.75" thickBot="1" x14ac:dyDescent="0.3">
      <c r="B30" s="83" t="s">
        <v>7</v>
      </c>
      <c r="C30" s="81" t="s">
        <v>97</v>
      </c>
      <c r="D30" s="81">
        <v>29</v>
      </c>
      <c r="E30" s="81">
        <v>13.5</v>
      </c>
      <c r="F30" s="81">
        <v>4</v>
      </c>
      <c r="G30" s="81">
        <v>4</v>
      </c>
      <c r="H30" s="82">
        <v>461.42307692307691</v>
      </c>
      <c r="I30" s="81">
        <v>45</v>
      </c>
      <c r="J30" s="81">
        <v>50.5</v>
      </c>
      <c r="K30" s="81">
        <v>2</v>
      </c>
      <c r="L30" s="81">
        <v>0.5</v>
      </c>
      <c r="M30" s="81">
        <v>1</v>
      </c>
      <c r="N30" s="81">
        <v>2</v>
      </c>
      <c r="O30" s="81">
        <v>50</v>
      </c>
      <c r="P30" s="81">
        <v>2</v>
      </c>
      <c r="Q30" s="80">
        <v>90</v>
      </c>
    </row>
    <row r="31" spans="2:17" x14ac:dyDescent="0.25">
      <c r="B31" s="22" t="s">
        <v>7</v>
      </c>
      <c r="C31" s="21" t="s">
        <v>66</v>
      </c>
      <c r="D31" s="21">
        <v>34</v>
      </c>
      <c r="E31" s="21">
        <v>13.4</v>
      </c>
      <c r="F31" s="21">
        <v>3</v>
      </c>
      <c r="G31" s="21">
        <v>3</v>
      </c>
      <c r="H31" s="57">
        <v>412.4590163934426</v>
      </c>
      <c r="I31" s="21">
        <v>45</v>
      </c>
      <c r="J31" s="21">
        <v>50.5</v>
      </c>
      <c r="K31" s="21">
        <v>2</v>
      </c>
      <c r="L31" s="21">
        <v>0.5</v>
      </c>
      <c r="M31" s="21">
        <v>1</v>
      </c>
      <c r="N31" s="21">
        <v>2</v>
      </c>
      <c r="O31" s="21">
        <v>50</v>
      </c>
      <c r="P31" s="21">
        <v>2</v>
      </c>
      <c r="Q31" s="69">
        <v>90</v>
      </c>
    </row>
    <row r="32" spans="2:17" ht="15.75" thickBot="1" x14ac:dyDescent="0.3">
      <c r="B32" s="12" t="s">
        <v>7</v>
      </c>
      <c r="C32" s="11" t="s">
        <v>96</v>
      </c>
      <c r="D32" s="11">
        <v>34</v>
      </c>
      <c r="E32" s="11">
        <v>13.3</v>
      </c>
      <c r="F32" s="11">
        <v>4</v>
      </c>
      <c r="G32" s="11">
        <v>4</v>
      </c>
      <c r="H32" s="68">
        <v>412.4590163934426</v>
      </c>
      <c r="I32" s="11">
        <v>45</v>
      </c>
      <c r="J32" s="11">
        <v>50.5</v>
      </c>
      <c r="K32" s="11">
        <v>2</v>
      </c>
      <c r="L32" s="11">
        <v>0.5</v>
      </c>
      <c r="M32" s="11">
        <v>1</v>
      </c>
      <c r="N32" s="11">
        <v>2</v>
      </c>
      <c r="O32" s="11">
        <v>50</v>
      </c>
      <c r="P32" s="11">
        <v>2</v>
      </c>
      <c r="Q32" s="67">
        <v>90</v>
      </c>
    </row>
    <row r="33" spans="2:17" ht="15.75" thickBot="1" x14ac:dyDescent="0.3">
      <c r="B33" s="95" t="s">
        <v>7</v>
      </c>
      <c r="C33" s="93" t="s">
        <v>65</v>
      </c>
      <c r="D33" s="93">
        <v>35</v>
      </c>
      <c r="E33" s="93">
        <v>14.6</v>
      </c>
      <c r="F33" s="93">
        <v>4</v>
      </c>
      <c r="G33" s="93">
        <v>3</v>
      </c>
      <c r="H33" s="94">
        <v>317.92857142857144</v>
      </c>
      <c r="I33" s="93">
        <v>45</v>
      </c>
      <c r="J33" s="93">
        <v>50.5</v>
      </c>
      <c r="K33" s="93">
        <v>2</v>
      </c>
      <c r="L33" s="93">
        <v>0.5</v>
      </c>
      <c r="M33" s="93">
        <v>1</v>
      </c>
      <c r="N33" s="93">
        <v>2</v>
      </c>
      <c r="O33" s="93">
        <v>50</v>
      </c>
      <c r="P33" s="93">
        <v>2</v>
      </c>
      <c r="Q33" s="92">
        <v>90</v>
      </c>
    </row>
    <row r="34" spans="2:17" x14ac:dyDescent="0.25">
      <c r="B34" s="22" t="s">
        <v>6</v>
      </c>
      <c r="C34" s="21" t="s">
        <v>52</v>
      </c>
      <c r="D34" s="21" t="s">
        <v>5</v>
      </c>
      <c r="E34" s="21">
        <v>22.3</v>
      </c>
      <c r="F34" s="21">
        <v>4</v>
      </c>
      <c r="G34" s="21">
        <v>2</v>
      </c>
      <c r="H34" s="57">
        <v>10308.898305084746</v>
      </c>
      <c r="I34" s="21">
        <v>45</v>
      </c>
      <c r="J34" s="21">
        <v>84</v>
      </c>
      <c r="K34" s="21">
        <v>7</v>
      </c>
      <c r="L34" s="21">
        <v>1.6</v>
      </c>
      <c r="M34" s="21">
        <v>1</v>
      </c>
      <c r="N34" s="21">
        <v>0</v>
      </c>
      <c r="O34" s="21">
        <v>40</v>
      </c>
      <c r="P34" s="21">
        <v>2</v>
      </c>
      <c r="Q34" s="69">
        <v>90</v>
      </c>
    </row>
    <row r="35" spans="2:17" x14ac:dyDescent="0.25">
      <c r="B35" s="16" t="s">
        <v>6</v>
      </c>
      <c r="C35" s="5" t="s">
        <v>95</v>
      </c>
      <c r="D35" s="5" t="s">
        <v>5</v>
      </c>
      <c r="E35" s="5">
        <v>16.399999999999999</v>
      </c>
      <c r="F35" s="5">
        <v>8</v>
      </c>
      <c r="G35" s="5">
        <v>4</v>
      </c>
      <c r="H35" s="55">
        <v>10308.898305084746</v>
      </c>
      <c r="I35" s="5">
        <v>45</v>
      </c>
      <c r="J35" s="5">
        <v>84</v>
      </c>
      <c r="K35" s="5">
        <v>3</v>
      </c>
      <c r="L35" s="5">
        <v>4.5999999999999996</v>
      </c>
      <c r="M35" s="5">
        <v>10</v>
      </c>
      <c r="N35" s="5">
        <v>0</v>
      </c>
      <c r="O35" s="5">
        <v>40</v>
      </c>
      <c r="P35" s="5">
        <v>3</v>
      </c>
      <c r="Q35" s="4">
        <v>90</v>
      </c>
    </row>
    <row r="36" spans="2:17" ht="15.75" thickBot="1" x14ac:dyDescent="0.3">
      <c r="B36" s="16" t="s">
        <v>6</v>
      </c>
      <c r="C36" s="5" t="s">
        <v>94</v>
      </c>
      <c r="D36" s="5" t="s">
        <v>5</v>
      </c>
      <c r="E36" s="5">
        <v>15.2</v>
      </c>
      <c r="F36" s="5">
        <v>4</v>
      </c>
      <c r="G36" s="5">
        <v>2</v>
      </c>
      <c r="H36" s="55">
        <v>10308.898305084746</v>
      </c>
      <c r="I36" s="5">
        <v>45</v>
      </c>
      <c r="J36" s="5">
        <v>84</v>
      </c>
      <c r="K36" s="5">
        <v>7</v>
      </c>
      <c r="L36" s="5">
        <v>1.6</v>
      </c>
      <c r="M36" s="5">
        <v>1</v>
      </c>
      <c r="N36" s="5">
        <v>0</v>
      </c>
      <c r="O36" s="5">
        <v>40</v>
      </c>
      <c r="P36" s="5">
        <v>2</v>
      </c>
      <c r="Q36" s="4">
        <v>90</v>
      </c>
    </row>
    <row r="37" spans="2:17" x14ac:dyDescent="0.25">
      <c r="B37" s="87" t="s">
        <v>6</v>
      </c>
      <c r="C37" s="85" t="s">
        <v>64</v>
      </c>
      <c r="D37" s="85">
        <v>2</v>
      </c>
      <c r="E37" s="85">
        <v>21.2</v>
      </c>
      <c r="F37" s="85">
        <v>4</v>
      </c>
      <c r="G37" s="85">
        <v>3</v>
      </c>
      <c r="H37" s="86">
        <v>7318.4615384615381</v>
      </c>
      <c r="I37" s="85">
        <v>45</v>
      </c>
      <c r="J37" s="85">
        <v>84</v>
      </c>
      <c r="K37" s="85">
        <v>3</v>
      </c>
      <c r="L37" s="85">
        <v>6</v>
      </c>
      <c r="M37" s="85">
        <v>8</v>
      </c>
      <c r="N37" s="85">
        <v>0</v>
      </c>
      <c r="O37" s="85">
        <v>40</v>
      </c>
      <c r="P37" s="85">
        <v>3</v>
      </c>
      <c r="Q37" s="84">
        <v>90</v>
      </c>
    </row>
    <row r="38" spans="2:17" ht="15.75" thickBot="1" x14ac:dyDescent="0.3">
      <c r="B38" s="83" t="s">
        <v>6</v>
      </c>
      <c r="C38" s="81" t="s">
        <v>93</v>
      </c>
      <c r="D38" s="81">
        <v>2</v>
      </c>
      <c r="E38" s="81">
        <v>18.3</v>
      </c>
      <c r="F38" s="81">
        <v>10</v>
      </c>
      <c r="G38" s="81">
        <v>9</v>
      </c>
      <c r="H38" s="81">
        <v>3587.5</v>
      </c>
      <c r="I38" s="81">
        <v>45</v>
      </c>
      <c r="J38" s="81">
        <v>84</v>
      </c>
      <c r="K38" s="81">
        <v>3</v>
      </c>
      <c r="L38" s="81">
        <v>6</v>
      </c>
      <c r="M38" s="81">
        <v>17</v>
      </c>
      <c r="N38" s="81">
        <v>0</v>
      </c>
      <c r="O38" s="81">
        <v>40</v>
      </c>
      <c r="P38" s="81">
        <v>2</v>
      </c>
      <c r="Q38" s="80">
        <v>90</v>
      </c>
    </row>
    <row r="39" spans="2:17" x14ac:dyDescent="0.25">
      <c r="B39" s="22" t="s">
        <v>6</v>
      </c>
      <c r="C39" s="21" t="s">
        <v>63</v>
      </c>
      <c r="D39" s="21">
        <v>3</v>
      </c>
      <c r="E39" s="21">
        <v>18.3</v>
      </c>
      <c r="F39" s="21">
        <v>12</v>
      </c>
      <c r="G39" s="21">
        <v>6</v>
      </c>
      <c r="H39" s="57">
        <v>3587.5</v>
      </c>
      <c r="I39" s="21">
        <v>45</v>
      </c>
      <c r="J39" s="21">
        <v>84</v>
      </c>
      <c r="K39" s="21">
        <v>3</v>
      </c>
      <c r="L39" s="21">
        <v>6</v>
      </c>
      <c r="M39" s="21">
        <v>17</v>
      </c>
      <c r="N39" s="21">
        <v>0</v>
      </c>
      <c r="O39" s="21">
        <v>40</v>
      </c>
      <c r="P39" s="21">
        <v>2</v>
      </c>
      <c r="Q39" s="69">
        <v>90</v>
      </c>
    </row>
    <row r="40" spans="2:17" s="100" customFormat="1" x14ac:dyDescent="0.25">
      <c r="B40" s="104" t="s">
        <v>6</v>
      </c>
      <c r="C40" s="102" t="s">
        <v>92</v>
      </c>
      <c r="D40" s="102">
        <v>3</v>
      </c>
      <c r="E40" s="102">
        <v>26.4</v>
      </c>
      <c r="F40" s="102">
        <v>12</v>
      </c>
      <c r="G40" s="102">
        <v>11</v>
      </c>
      <c r="H40" s="103">
        <v>3587.5</v>
      </c>
      <c r="I40" s="102">
        <v>45</v>
      </c>
      <c r="J40" s="102">
        <v>84</v>
      </c>
      <c r="K40" s="102">
        <v>3</v>
      </c>
      <c r="L40" s="102">
        <v>6</v>
      </c>
      <c r="M40" s="102">
        <v>17</v>
      </c>
      <c r="N40" s="102">
        <v>0</v>
      </c>
      <c r="O40" s="102">
        <v>40</v>
      </c>
      <c r="P40" s="102">
        <v>2</v>
      </c>
      <c r="Q40" s="101">
        <v>90</v>
      </c>
    </row>
    <row r="41" spans="2:17" x14ac:dyDescent="0.25">
      <c r="B41" s="16" t="s">
        <v>6</v>
      </c>
      <c r="C41" s="5" t="s">
        <v>91</v>
      </c>
      <c r="D41" s="5">
        <v>3</v>
      </c>
      <c r="E41" s="5">
        <v>19</v>
      </c>
      <c r="F41" s="5">
        <v>4</v>
      </c>
      <c r="G41" s="5">
        <v>4</v>
      </c>
      <c r="H41" s="55">
        <v>3587.5</v>
      </c>
      <c r="I41" s="5">
        <v>45</v>
      </c>
      <c r="J41" s="5">
        <v>84</v>
      </c>
      <c r="K41" s="5">
        <v>3</v>
      </c>
      <c r="L41" s="5">
        <v>1.6</v>
      </c>
      <c r="M41" s="5">
        <v>1</v>
      </c>
      <c r="N41" s="5">
        <v>0</v>
      </c>
      <c r="O41" s="5">
        <v>40</v>
      </c>
      <c r="P41" s="5">
        <v>2</v>
      </c>
      <c r="Q41" s="4">
        <v>90</v>
      </c>
    </row>
    <row r="42" spans="2:17" ht="15.75" thickBot="1" x14ac:dyDescent="0.3">
      <c r="B42" s="12" t="s">
        <v>6</v>
      </c>
      <c r="C42" s="11" t="s">
        <v>90</v>
      </c>
      <c r="D42" s="11">
        <v>3</v>
      </c>
      <c r="E42" s="11">
        <v>15.9</v>
      </c>
      <c r="F42" s="11">
        <v>8</v>
      </c>
      <c r="G42" s="11">
        <v>8</v>
      </c>
      <c r="H42" s="68">
        <v>3587.5</v>
      </c>
      <c r="I42" s="11">
        <v>45</v>
      </c>
      <c r="J42" s="11">
        <v>84</v>
      </c>
      <c r="K42" s="11">
        <v>3</v>
      </c>
      <c r="L42" s="11">
        <v>6</v>
      </c>
      <c r="M42" s="11">
        <v>17</v>
      </c>
      <c r="N42" s="11">
        <v>0</v>
      </c>
      <c r="O42" s="11">
        <v>40</v>
      </c>
      <c r="P42" s="11">
        <v>2</v>
      </c>
      <c r="Q42" s="67">
        <v>90</v>
      </c>
    </row>
    <row r="43" spans="2:17" x14ac:dyDescent="0.25">
      <c r="B43" s="87" t="s">
        <v>6</v>
      </c>
      <c r="C43" s="85" t="s">
        <v>62</v>
      </c>
      <c r="D43" s="85">
        <v>4</v>
      </c>
      <c r="E43" s="85">
        <v>15.4</v>
      </c>
      <c r="F43" s="85">
        <v>12</v>
      </c>
      <c r="G43" s="85">
        <v>6</v>
      </c>
      <c r="H43" s="86">
        <v>6000</v>
      </c>
      <c r="I43" s="85">
        <v>45</v>
      </c>
      <c r="J43" s="85">
        <v>84</v>
      </c>
      <c r="K43" s="85">
        <v>3</v>
      </c>
      <c r="L43" s="85">
        <v>6</v>
      </c>
      <c r="M43" s="85">
        <v>17</v>
      </c>
      <c r="N43" s="85">
        <v>0</v>
      </c>
      <c r="O43" s="85">
        <v>40</v>
      </c>
      <c r="P43" s="85">
        <v>4</v>
      </c>
      <c r="Q43" s="84">
        <v>90</v>
      </c>
    </row>
    <row r="44" spans="2:17" ht="15.75" thickBot="1" x14ac:dyDescent="0.3">
      <c r="B44" s="83" t="s">
        <v>6</v>
      </c>
      <c r="C44" s="81" t="s">
        <v>89</v>
      </c>
      <c r="D44" s="81">
        <v>4</v>
      </c>
      <c r="E44" s="81">
        <v>21.8</v>
      </c>
      <c r="F44" s="81">
        <v>8</v>
      </c>
      <c r="G44" s="81">
        <v>8</v>
      </c>
      <c r="H44" s="82">
        <v>6000</v>
      </c>
      <c r="I44" s="81">
        <v>45</v>
      </c>
      <c r="J44" s="81">
        <v>84</v>
      </c>
      <c r="K44" s="81">
        <v>3</v>
      </c>
      <c r="L44" s="81">
        <v>5</v>
      </c>
      <c r="M44" s="81">
        <v>14</v>
      </c>
      <c r="N44" s="81">
        <v>0</v>
      </c>
      <c r="O44" s="81">
        <v>40</v>
      </c>
      <c r="P44" s="81">
        <v>4</v>
      </c>
      <c r="Q44" s="80">
        <v>90</v>
      </c>
    </row>
    <row r="45" spans="2:17" x14ac:dyDescent="0.25">
      <c r="B45" s="22" t="s">
        <v>6</v>
      </c>
      <c r="C45" s="21" t="s">
        <v>61</v>
      </c>
      <c r="D45" s="21">
        <v>5</v>
      </c>
      <c r="E45" s="21">
        <v>31.3</v>
      </c>
      <c r="F45" s="21">
        <v>12</v>
      </c>
      <c r="G45" s="21">
        <v>5</v>
      </c>
      <c r="H45" s="57">
        <v>1716.8478260869565</v>
      </c>
      <c r="I45" s="21">
        <v>45</v>
      </c>
      <c r="J45" s="21">
        <v>84</v>
      </c>
      <c r="K45" s="21">
        <v>3</v>
      </c>
      <c r="L45" s="21">
        <v>4.5999999999999996</v>
      </c>
      <c r="M45" s="21">
        <v>10</v>
      </c>
      <c r="N45" s="21">
        <v>0</v>
      </c>
      <c r="O45" s="21">
        <v>40</v>
      </c>
      <c r="P45" s="21">
        <v>3</v>
      </c>
      <c r="Q45" s="69">
        <v>90</v>
      </c>
    </row>
    <row r="46" spans="2:17" ht="15.75" thickBot="1" x14ac:dyDescent="0.3">
      <c r="B46" s="16" t="s">
        <v>6</v>
      </c>
      <c r="C46" s="5" t="s">
        <v>88</v>
      </c>
      <c r="D46" s="5">
        <v>5</v>
      </c>
      <c r="E46" s="5">
        <v>28.8</v>
      </c>
      <c r="F46" s="5">
        <v>8</v>
      </c>
      <c r="G46" s="5">
        <v>3</v>
      </c>
      <c r="H46" s="55">
        <v>1716.8478260869565</v>
      </c>
      <c r="I46" s="5">
        <v>45</v>
      </c>
      <c r="J46" s="5">
        <v>84</v>
      </c>
      <c r="K46" s="5">
        <v>3</v>
      </c>
      <c r="L46" s="5">
        <v>4.5999999999999996</v>
      </c>
      <c r="M46" s="5">
        <v>9</v>
      </c>
      <c r="N46" s="5">
        <v>0</v>
      </c>
      <c r="O46" s="5">
        <v>40</v>
      </c>
      <c r="P46" s="5">
        <v>3</v>
      </c>
      <c r="Q46" s="4">
        <v>90</v>
      </c>
    </row>
    <row r="47" spans="2:17" x14ac:dyDescent="0.25">
      <c r="B47" s="87" t="s">
        <v>6</v>
      </c>
      <c r="C47" s="85" t="s">
        <v>60</v>
      </c>
      <c r="D47" s="85">
        <v>6</v>
      </c>
      <c r="E47" s="85">
        <v>36.6</v>
      </c>
      <c r="F47" s="85">
        <v>8</v>
      </c>
      <c r="G47" s="85">
        <v>5</v>
      </c>
      <c r="H47" s="86">
        <v>1481.0204081632653</v>
      </c>
      <c r="I47" s="85">
        <v>45</v>
      </c>
      <c r="J47" s="85">
        <v>84</v>
      </c>
      <c r="K47" s="85">
        <v>4</v>
      </c>
      <c r="L47" s="85">
        <v>2</v>
      </c>
      <c r="M47" s="85">
        <v>3</v>
      </c>
      <c r="N47" s="85">
        <v>0</v>
      </c>
      <c r="O47" s="85">
        <v>40</v>
      </c>
      <c r="P47" s="85">
        <v>2</v>
      </c>
      <c r="Q47" s="84">
        <v>90</v>
      </c>
    </row>
    <row r="48" spans="2:17" x14ac:dyDescent="0.25">
      <c r="B48" s="13" t="s">
        <v>6</v>
      </c>
      <c r="C48" s="3" t="s">
        <v>84</v>
      </c>
      <c r="D48" s="3">
        <v>6</v>
      </c>
      <c r="E48" s="3">
        <v>27.4</v>
      </c>
      <c r="F48" s="3">
        <v>12</v>
      </c>
      <c r="G48" s="3">
        <v>10</v>
      </c>
      <c r="H48" s="56">
        <v>1481.0204081632653</v>
      </c>
      <c r="I48" s="3">
        <v>45</v>
      </c>
      <c r="J48" s="3">
        <v>84</v>
      </c>
      <c r="K48" s="3">
        <v>3</v>
      </c>
      <c r="L48" s="3">
        <v>6</v>
      </c>
      <c r="M48" s="3">
        <v>16</v>
      </c>
      <c r="N48" s="3">
        <v>0</v>
      </c>
      <c r="O48" s="3">
        <v>40</v>
      </c>
      <c r="P48" s="3">
        <v>2</v>
      </c>
      <c r="Q48" s="2">
        <v>90</v>
      </c>
    </row>
    <row r="49" spans="2:17" ht="15.75" thickBot="1" x14ac:dyDescent="0.3">
      <c r="B49" s="13" t="s">
        <v>6</v>
      </c>
      <c r="C49" s="3" t="s">
        <v>59</v>
      </c>
      <c r="D49" s="3">
        <v>6</v>
      </c>
      <c r="E49" s="3">
        <v>24.4</v>
      </c>
      <c r="F49" s="3">
        <v>8</v>
      </c>
      <c r="G49" s="3">
        <v>5</v>
      </c>
      <c r="H49" s="56">
        <v>3198.3922829581993</v>
      </c>
      <c r="I49" s="3">
        <v>45</v>
      </c>
      <c r="J49" s="3">
        <v>84</v>
      </c>
      <c r="K49" s="3">
        <v>3</v>
      </c>
      <c r="L49" s="3">
        <v>1.5</v>
      </c>
      <c r="M49" s="3">
        <v>3</v>
      </c>
      <c r="N49" s="3">
        <v>0</v>
      </c>
      <c r="O49" s="3">
        <v>40</v>
      </c>
      <c r="P49" s="3">
        <v>4</v>
      </c>
      <c r="Q49" s="2">
        <v>90</v>
      </c>
    </row>
    <row r="50" spans="2:17" x14ac:dyDescent="0.25">
      <c r="B50" s="22" t="s">
        <v>6</v>
      </c>
      <c r="C50" s="21" t="s">
        <v>59</v>
      </c>
      <c r="D50" s="21">
        <v>7</v>
      </c>
      <c r="E50" s="21">
        <v>24.4</v>
      </c>
      <c r="F50" s="21">
        <v>8</v>
      </c>
      <c r="G50" s="21">
        <v>5</v>
      </c>
      <c r="H50" s="57">
        <v>3198.3922829581993</v>
      </c>
      <c r="I50" s="21">
        <v>45</v>
      </c>
      <c r="J50" s="21">
        <v>84</v>
      </c>
      <c r="K50" s="21">
        <v>3</v>
      </c>
      <c r="L50" s="21">
        <v>1.5</v>
      </c>
      <c r="M50" s="21">
        <v>3</v>
      </c>
      <c r="N50" s="21">
        <v>0</v>
      </c>
      <c r="O50" s="21">
        <v>40</v>
      </c>
      <c r="P50" s="21">
        <v>4</v>
      </c>
      <c r="Q50" s="69">
        <v>90</v>
      </c>
    </row>
    <row r="51" spans="2:17" x14ac:dyDescent="0.25">
      <c r="B51" s="16" t="s">
        <v>6</v>
      </c>
      <c r="C51" s="5" t="s">
        <v>78</v>
      </c>
      <c r="D51" s="5">
        <v>7</v>
      </c>
      <c r="E51" s="5">
        <v>19.600000000000001</v>
      </c>
      <c r="F51" s="5">
        <v>19</v>
      </c>
      <c r="G51" s="5">
        <v>18</v>
      </c>
      <c r="H51" s="55">
        <v>3289.0510948905107</v>
      </c>
      <c r="I51" s="5">
        <v>45</v>
      </c>
      <c r="J51" s="5">
        <v>84</v>
      </c>
      <c r="K51" s="5">
        <v>3</v>
      </c>
      <c r="L51" s="5">
        <v>4.8</v>
      </c>
      <c r="M51" s="5">
        <v>15</v>
      </c>
      <c r="N51" s="5">
        <v>0</v>
      </c>
      <c r="O51" s="5">
        <v>40</v>
      </c>
      <c r="P51" s="5">
        <v>3</v>
      </c>
      <c r="Q51" s="4">
        <v>90</v>
      </c>
    </row>
    <row r="52" spans="2:17" x14ac:dyDescent="0.25">
      <c r="B52" s="16" t="s">
        <v>6</v>
      </c>
      <c r="C52" s="5" t="s">
        <v>58</v>
      </c>
      <c r="D52" s="5">
        <v>7</v>
      </c>
      <c r="E52" s="5">
        <v>18.8</v>
      </c>
      <c r="F52" s="5">
        <v>12</v>
      </c>
      <c r="G52" s="5">
        <v>8</v>
      </c>
      <c r="H52" s="55">
        <v>3289.0510948905107</v>
      </c>
      <c r="I52" s="5">
        <v>45</v>
      </c>
      <c r="J52" s="5">
        <v>84</v>
      </c>
      <c r="K52" s="5">
        <v>3</v>
      </c>
      <c r="L52" s="5">
        <v>4.5999999999999996</v>
      </c>
      <c r="M52" s="5">
        <v>10</v>
      </c>
      <c r="N52" s="5">
        <v>0</v>
      </c>
      <c r="O52" s="5">
        <v>40</v>
      </c>
      <c r="P52" s="5">
        <v>3</v>
      </c>
      <c r="Q52" s="4">
        <v>90</v>
      </c>
    </row>
    <row r="53" spans="2:17" ht="15.75" thickBot="1" x14ac:dyDescent="0.3">
      <c r="B53" s="12" t="s">
        <v>6</v>
      </c>
      <c r="C53" s="11" t="s">
        <v>87</v>
      </c>
      <c r="D53" s="11">
        <v>7</v>
      </c>
      <c r="E53" s="11">
        <v>22.8</v>
      </c>
      <c r="F53" s="11">
        <v>6</v>
      </c>
      <c r="G53" s="11">
        <v>3</v>
      </c>
      <c r="H53" s="68">
        <v>2244.7674418604652</v>
      </c>
      <c r="I53" s="11">
        <v>45</v>
      </c>
      <c r="J53" s="11">
        <v>84</v>
      </c>
      <c r="K53" s="11">
        <v>3</v>
      </c>
      <c r="L53" s="11">
        <v>1.5</v>
      </c>
      <c r="M53" s="11">
        <v>1</v>
      </c>
      <c r="N53" s="11">
        <v>0</v>
      </c>
      <c r="O53" s="11">
        <v>40</v>
      </c>
      <c r="P53" s="11">
        <v>2</v>
      </c>
      <c r="Q53" s="67">
        <v>90</v>
      </c>
    </row>
    <row r="54" spans="2:17" s="99" customFormat="1" x14ac:dyDescent="0.25">
      <c r="B54" s="87" t="s">
        <v>6</v>
      </c>
      <c r="C54" s="85" t="s">
        <v>58</v>
      </c>
      <c r="D54" s="85">
        <v>8</v>
      </c>
      <c r="E54" s="85">
        <v>10.8</v>
      </c>
      <c r="F54" s="85">
        <v>12</v>
      </c>
      <c r="G54" s="85">
        <v>4</v>
      </c>
      <c r="H54" s="86">
        <v>3289.0510948905107</v>
      </c>
      <c r="I54" s="85">
        <v>45</v>
      </c>
      <c r="J54" s="85">
        <v>84</v>
      </c>
      <c r="K54" s="85">
        <v>3</v>
      </c>
      <c r="L54" s="85">
        <v>4.5999999999999996</v>
      </c>
      <c r="M54" s="85">
        <v>10</v>
      </c>
      <c r="N54" s="85">
        <v>0</v>
      </c>
      <c r="O54" s="85">
        <v>40</v>
      </c>
      <c r="P54" s="85">
        <v>3</v>
      </c>
      <c r="Q54" s="84">
        <v>90</v>
      </c>
    </row>
    <row r="55" spans="2:17" s="99" customFormat="1" x14ac:dyDescent="0.25">
      <c r="B55" s="13" t="s">
        <v>6</v>
      </c>
      <c r="C55" s="3" t="s">
        <v>86</v>
      </c>
      <c r="D55" s="3">
        <v>8</v>
      </c>
      <c r="E55" s="3">
        <v>10.8</v>
      </c>
      <c r="F55" s="3">
        <v>12</v>
      </c>
      <c r="G55" s="3">
        <v>4</v>
      </c>
      <c r="H55" s="56">
        <v>3289.0510948905107</v>
      </c>
      <c r="I55" s="3">
        <v>45</v>
      </c>
      <c r="J55" s="3">
        <v>84</v>
      </c>
      <c r="K55" s="3">
        <v>3</v>
      </c>
      <c r="L55" s="3">
        <v>4.5999999999999996</v>
      </c>
      <c r="M55" s="3">
        <v>10</v>
      </c>
      <c r="N55" s="3">
        <v>0</v>
      </c>
      <c r="O55" s="3">
        <v>40</v>
      </c>
      <c r="P55" s="3">
        <v>3</v>
      </c>
      <c r="Q55" s="2">
        <v>90</v>
      </c>
    </row>
    <row r="56" spans="2:17" s="99" customFormat="1" x14ac:dyDescent="0.25">
      <c r="B56" s="13" t="s">
        <v>6</v>
      </c>
      <c r="C56" s="3" t="s">
        <v>53</v>
      </c>
      <c r="D56" s="3">
        <v>8</v>
      </c>
      <c r="E56" s="3">
        <v>15.3</v>
      </c>
      <c r="F56" s="3">
        <v>4</v>
      </c>
      <c r="G56" s="3">
        <v>3</v>
      </c>
      <c r="H56" s="56">
        <v>2005.1886792452831</v>
      </c>
      <c r="I56" s="3">
        <v>45</v>
      </c>
      <c r="J56" s="3">
        <v>84</v>
      </c>
      <c r="K56" s="3">
        <v>3</v>
      </c>
      <c r="L56" s="3">
        <v>1.3</v>
      </c>
      <c r="M56" s="3">
        <v>1</v>
      </c>
      <c r="N56" s="3">
        <v>0</v>
      </c>
      <c r="O56" s="3">
        <v>40</v>
      </c>
      <c r="P56" s="3">
        <v>2</v>
      </c>
      <c r="Q56" s="2">
        <v>90</v>
      </c>
    </row>
    <row r="57" spans="2:17" s="99" customFormat="1" ht="15.75" thickBot="1" x14ac:dyDescent="0.3">
      <c r="B57" s="83" t="s">
        <v>6</v>
      </c>
      <c r="C57" s="81" t="s">
        <v>85</v>
      </c>
      <c r="D57" s="81">
        <v>8</v>
      </c>
      <c r="E57" s="81">
        <v>30.2</v>
      </c>
      <c r="F57" s="81">
        <v>8</v>
      </c>
      <c r="G57" s="81">
        <v>6</v>
      </c>
      <c r="H57" s="82">
        <v>10308.898305084746</v>
      </c>
      <c r="I57" s="81">
        <v>45</v>
      </c>
      <c r="J57" s="81">
        <v>84</v>
      </c>
      <c r="K57" s="81">
        <v>3</v>
      </c>
      <c r="L57" s="81">
        <v>4.5999999999999996</v>
      </c>
      <c r="M57" s="81">
        <v>10</v>
      </c>
      <c r="N57" s="81">
        <v>0</v>
      </c>
      <c r="O57" s="81">
        <v>40</v>
      </c>
      <c r="P57" s="81">
        <v>3</v>
      </c>
      <c r="Q57" s="80">
        <v>90</v>
      </c>
    </row>
    <row r="58" spans="2:17" ht="15.75" thickBot="1" x14ac:dyDescent="0.3">
      <c r="B58" s="98" t="s">
        <v>6</v>
      </c>
      <c r="C58" s="97" t="s">
        <v>112</v>
      </c>
      <c r="D58" s="97">
        <v>11</v>
      </c>
      <c r="E58" s="97">
        <v>1</v>
      </c>
      <c r="F58" s="97">
        <v>0</v>
      </c>
      <c r="G58" s="97">
        <v>0</v>
      </c>
      <c r="H58" s="97">
        <v>6278.5714285714284</v>
      </c>
      <c r="I58" s="97">
        <v>45</v>
      </c>
      <c r="J58" s="97">
        <v>84</v>
      </c>
      <c r="K58" s="97">
        <v>3</v>
      </c>
      <c r="L58" s="97">
        <v>5</v>
      </c>
      <c r="M58" s="97">
        <v>15</v>
      </c>
      <c r="N58" s="97">
        <v>0</v>
      </c>
      <c r="O58" s="97">
        <v>40</v>
      </c>
      <c r="P58" s="97">
        <v>2</v>
      </c>
      <c r="Q58" s="96">
        <v>90</v>
      </c>
    </row>
    <row r="59" spans="2:17" ht="15.75" thickBot="1" x14ac:dyDescent="0.3">
      <c r="B59" s="95" t="s">
        <v>6</v>
      </c>
      <c r="C59" s="93" t="s">
        <v>57</v>
      </c>
      <c r="D59" s="93">
        <v>12</v>
      </c>
      <c r="E59" s="93">
        <v>21.2</v>
      </c>
      <c r="F59" s="93">
        <v>4</v>
      </c>
      <c r="G59" s="93">
        <v>4</v>
      </c>
      <c r="H59" s="94">
        <v>3171.7857142857142</v>
      </c>
      <c r="I59" s="93">
        <v>45</v>
      </c>
      <c r="J59" s="93">
        <v>84</v>
      </c>
      <c r="K59" s="93">
        <v>3</v>
      </c>
      <c r="L59" s="93">
        <v>1.2</v>
      </c>
      <c r="M59" s="93">
        <v>1</v>
      </c>
      <c r="N59" s="93">
        <v>0</v>
      </c>
      <c r="O59" s="93">
        <v>40</v>
      </c>
      <c r="P59" s="93">
        <v>2</v>
      </c>
      <c r="Q59" s="92">
        <v>90</v>
      </c>
    </row>
    <row r="60" spans="2:17" x14ac:dyDescent="0.25">
      <c r="B60" s="22" t="s">
        <v>6</v>
      </c>
      <c r="C60" s="21" t="s">
        <v>56</v>
      </c>
      <c r="D60" s="21">
        <v>15</v>
      </c>
      <c r="E60" s="21">
        <v>35.4</v>
      </c>
      <c r="F60" s="21">
        <v>6</v>
      </c>
      <c r="G60" s="21">
        <v>3</v>
      </c>
      <c r="H60" s="57">
        <v>2244.7674418604652</v>
      </c>
      <c r="I60" s="21">
        <v>45</v>
      </c>
      <c r="J60" s="21">
        <v>84</v>
      </c>
      <c r="K60" s="21">
        <v>3</v>
      </c>
      <c r="L60" s="21">
        <v>1.5</v>
      </c>
      <c r="M60" s="21">
        <v>1</v>
      </c>
      <c r="N60" s="21">
        <v>0</v>
      </c>
      <c r="O60" s="21">
        <v>40</v>
      </c>
      <c r="P60" s="21">
        <v>2</v>
      </c>
      <c r="Q60" s="69">
        <v>90</v>
      </c>
    </row>
    <row r="61" spans="2:17" x14ac:dyDescent="0.25">
      <c r="B61" s="16" t="s">
        <v>6</v>
      </c>
      <c r="C61" s="5" t="s">
        <v>84</v>
      </c>
      <c r="D61" s="5">
        <v>15</v>
      </c>
      <c r="E61" s="5">
        <v>27.4</v>
      </c>
      <c r="F61" s="5">
        <v>12</v>
      </c>
      <c r="G61" s="5">
        <v>10</v>
      </c>
      <c r="H61" s="55">
        <v>1481.0204081632653</v>
      </c>
      <c r="I61" s="5">
        <v>45</v>
      </c>
      <c r="J61" s="5">
        <v>84</v>
      </c>
      <c r="K61" s="5">
        <v>3</v>
      </c>
      <c r="L61" s="5">
        <v>6</v>
      </c>
      <c r="M61" s="5">
        <v>16</v>
      </c>
      <c r="N61" s="5">
        <v>0</v>
      </c>
      <c r="O61" s="5">
        <v>40</v>
      </c>
      <c r="P61" s="5">
        <v>2</v>
      </c>
      <c r="Q61" s="4">
        <v>90</v>
      </c>
    </row>
    <row r="62" spans="2:17" ht="15.75" thickBot="1" x14ac:dyDescent="0.3">
      <c r="B62" s="12" t="s">
        <v>6</v>
      </c>
      <c r="C62" s="11" t="s">
        <v>83</v>
      </c>
      <c r="D62" s="11">
        <v>15</v>
      </c>
      <c r="E62" s="11">
        <v>17</v>
      </c>
      <c r="F62" s="11">
        <v>3</v>
      </c>
      <c r="G62" s="11">
        <v>3</v>
      </c>
      <c r="H62" s="68">
        <v>2244.7674418604652</v>
      </c>
      <c r="I62" s="11">
        <v>45</v>
      </c>
      <c r="J62" s="11">
        <v>84</v>
      </c>
      <c r="K62" s="11">
        <v>3</v>
      </c>
      <c r="L62" s="11">
        <v>1.5</v>
      </c>
      <c r="M62" s="11">
        <v>1</v>
      </c>
      <c r="N62" s="11">
        <v>0</v>
      </c>
      <c r="O62" s="11">
        <v>40</v>
      </c>
      <c r="P62" s="11">
        <v>2</v>
      </c>
      <c r="Q62" s="67">
        <v>90</v>
      </c>
    </row>
    <row r="63" spans="2:17" x14ac:dyDescent="0.25">
      <c r="B63" s="87" t="s">
        <v>6</v>
      </c>
      <c r="C63" s="85" t="s">
        <v>55</v>
      </c>
      <c r="D63" s="85">
        <v>16</v>
      </c>
      <c r="E63" s="85">
        <v>23.3</v>
      </c>
      <c r="F63" s="85">
        <v>8</v>
      </c>
      <c r="G63" s="85">
        <v>7</v>
      </c>
      <c r="H63" s="86">
        <v>5010.8108108108108</v>
      </c>
      <c r="I63" s="85">
        <v>45</v>
      </c>
      <c r="J63" s="85">
        <v>84</v>
      </c>
      <c r="K63" s="85">
        <v>3</v>
      </c>
      <c r="L63" s="85">
        <v>1.3</v>
      </c>
      <c r="M63" s="85">
        <v>1</v>
      </c>
      <c r="N63" s="85">
        <v>0</v>
      </c>
      <c r="O63" s="85">
        <v>40</v>
      </c>
      <c r="P63" s="85">
        <v>2</v>
      </c>
      <c r="Q63" s="84">
        <v>90</v>
      </c>
    </row>
    <row r="64" spans="2:17" x14ac:dyDescent="0.25">
      <c r="B64" s="13" t="s">
        <v>6</v>
      </c>
      <c r="C64" s="3" t="s">
        <v>82</v>
      </c>
      <c r="D64" s="3">
        <v>16</v>
      </c>
      <c r="E64" s="3">
        <v>27.4</v>
      </c>
      <c r="F64" s="3">
        <v>12</v>
      </c>
      <c r="G64" s="3">
        <v>10</v>
      </c>
      <c r="H64" s="56">
        <v>1481.0204081632653</v>
      </c>
      <c r="I64" s="3">
        <v>45</v>
      </c>
      <c r="J64" s="3">
        <v>84</v>
      </c>
      <c r="K64" s="3">
        <v>3</v>
      </c>
      <c r="L64" s="3">
        <v>6</v>
      </c>
      <c r="M64" s="3">
        <v>16</v>
      </c>
      <c r="N64" s="3">
        <v>0</v>
      </c>
      <c r="O64" s="3">
        <v>40</v>
      </c>
      <c r="P64" s="3">
        <v>2</v>
      </c>
      <c r="Q64" s="2">
        <v>90</v>
      </c>
    </row>
    <row r="65" spans="2:17" ht="15.75" thickBot="1" x14ac:dyDescent="0.3">
      <c r="B65" s="83" t="s">
        <v>6</v>
      </c>
      <c r="C65" s="81" t="s">
        <v>81</v>
      </c>
      <c r="D65" s="81">
        <v>16</v>
      </c>
      <c r="E65" s="81">
        <v>14.1</v>
      </c>
      <c r="F65" s="81">
        <v>4</v>
      </c>
      <c r="G65" s="81">
        <v>2</v>
      </c>
      <c r="H65" s="82">
        <v>913.9212598425197</v>
      </c>
      <c r="I65" s="81">
        <v>45</v>
      </c>
      <c r="J65" s="81">
        <v>84</v>
      </c>
      <c r="K65" s="81">
        <v>4</v>
      </c>
      <c r="L65" s="81">
        <v>1.54</v>
      </c>
      <c r="M65" s="81">
        <v>1</v>
      </c>
      <c r="N65" s="81">
        <v>0.12938888888888889</v>
      </c>
      <c r="O65" s="81">
        <v>40</v>
      </c>
      <c r="P65" s="81">
        <v>2</v>
      </c>
      <c r="Q65" s="80">
        <v>90</v>
      </c>
    </row>
    <row r="66" spans="2:17" ht="15.75" thickBot="1" x14ac:dyDescent="0.3">
      <c r="B66" s="91" t="s">
        <v>6</v>
      </c>
      <c r="C66" s="89" t="s">
        <v>54</v>
      </c>
      <c r="D66" s="89">
        <v>18</v>
      </c>
      <c r="E66" s="89">
        <v>14.1</v>
      </c>
      <c r="F66" s="89">
        <v>4</v>
      </c>
      <c r="G66" s="89">
        <v>4</v>
      </c>
      <c r="H66" s="90">
        <v>3415.1056910569105</v>
      </c>
      <c r="I66" s="89">
        <v>45</v>
      </c>
      <c r="J66" s="89">
        <v>84</v>
      </c>
      <c r="K66" s="89">
        <v>3</v>
      </c>
      <c r="L66" s="89">
        <v>2</v>
      </c>
      <c r="M66" s="89">
        <v>1</v>
      </c>
      <c r="N66" s="89">
        <v>0.115</v>
      </c>
      <c r="O66" s="89">
        <v>40</v>
      </c>
      <c r="P66" s="89">
        <v>2</v>
      </c>
      <c r="Q66" s="88">
        <v>90</v>
      </c>
    </row>
    <row r="67" spans="2:17" x14ac:dyDescent="0.25">
      <c r="B67" s="87" t="s">
        <v>6</v>
      </c>
      <c r="C67" s="85" t="s">
        <v>53</v>
      </c>
      <c r="D67" s="85">
        <v>19</v>
      </c>
      <c r="E67" s="85">
        <v>15.3</v>
      </c>
      <c r="F67" s="85">
        <v>4</v>
      </c>
      <c r="G67" s="85">
        <v>3</v>
      </c>
      <c r="H67" s="86">
        <v>2005.1886792452831</v>
      </c>
      <c r="I67" s="85">
        <v>45</v>
      </c>
      <c r="J67" s="85">
        <v>84</v>
      </c>
      <c r="K67" s="85">
        <v>3</v>
      </c>
      <c r="L67" s="85">
        <v>1.3</v>
      </c>
      <c r="M67" s="85">
        <v>1</v>
      </c>
      <c r="N67" s="85">
        <v>0</v>
      </c>
      <c r="O67" s="85">
        <v>40</v>
      </c>
      <c r="P67" s="85">
        <v>2</v>
      </c>
      <c r="Q67" s="84">
        <v>90</v>
      </c>
    </row>
    <row r="68" spans="2:17" ht="15.75" thickBot="1" x14ac:dyDescent="0.3">
      <c r="B68" s="83" t="s">
        <v>6</v>
      </c>
      <c r="C68" s="81" t="s">
        <v>80</v>
      </c>
      <c r="D68" s="81">
        <v>19</v>
      </c>
      <c r="E68" s="81">
        <v>21.9</v>
      </c>
      <c r="F68" s="81">
        <v>12</v>
      </c>
      <c r="G68" s="81">
        <v>12</v>
      </c>
      <c r="H68" s="82">
        <v>3289.0510948905107</v>
      </c>
      <c r="I68" s="81">
        <v>45</v>
      </c>
      <c r="J68" s="81">
        <v>84</v>
      </c>
      <c r="K68" s="81">
        <v>3</v>
      </c>
      <c r="L68" s="81">
        <v>4.5999999999999996</v>
      </c>
      <c r="M68" s="81">
        <v>10</v>
      </c>
      <c r="N68" s="81">
        <v>0</v>
      </c>
      <c r="O68" s="81">
        <v>40</v>
      </c>
      <c r="P68" s="81">
        <v>3</v>
      </c>
      <c r="Q68" s="80">
        <v>90</v>
      </c>
    </row>
    <row r="69" spans="2:17" x14ac:dyDescent="0.25">
      <c r="B69" s="22" t="s">
        <v>6</v>
      </c>
      <c r="C69" s="21" t="s">
        <v>52</v>
      </c>
      <c r="D69" s="21">
        <v>20</v>
      </c>
      <c r="E69" s="21">
        <v>24.6</v>
      </c>
      <c r="F69" s="21">
        <v>4</v>
      </c>
      <c r="G69" s="21">
        <v>2</v>
      </c>
      <c r="H69" s="57">
        <v>12508.938547486034</v>
      </c>
      <c r="I69" s="21">
        <v>45</v>
      </c>
      <c r="J69" s="21">
        <v>84</v>
      </c>
      <c r="K69" s="21">
        <v>3</v>
      </c>
      <c r="L69" s="21">
        <v>1.5</v>
      </c>
      <c r="M69" s="21">
        <v>1</v>
      </c>
      <c r="N69" s="21">
        <v>0</v>
      </c>
      <c r="O69" s="21">
        <v>40</v>
      </c>
      <c r="P69" s="21">
        <v>1</v>
      </c>
      <c r="Q69" s="69">
        <v>90</v>
      </c>
    </row>
    <row r="70" spans="2:17" x14ac:dyDescent="0.25">
      <c r="B70" s="16" t="s">
        <v>6</v>
      </c>
      <c r="C70" s="5" t="s">
        <v>79</v>
      </c>
      <c r="D70" s="5">
        <v>20</v>
      </c>
      <c r="E70" s="5">
        <v>16.399999999999999</v>
      </c>
      <c r="F70" s="5">
        <v>8</v>
      </c>
      <c r="G70" s="5">
        <v>4</v>
      </c>
      <c r="H70" s="55">
        <v>1481.0204081632653</v>
      </c>
      <c r="I70" s="5">
        <v>45</v>
      </c>
      <c r="J70" s="5">
        <v>84</v>
      </c>
      <c r="K70" s="5">
        <v>3</v>
      </c>
      <c r="L70" s="5">
        <v>6</v>
      </c>
      <c r="M70" s="5">
        <v>15</v>
      </c>
      <c r="N70" s="5">
        <v>0</v>
      </c>
      <c r="O70" s="5">
        <v>40</v>
      </c>
      <c r="P70" s="5">
        <v>2</v>
      </c>
      <c r="Q70" s="4">
        <v>90</v>
      </c>
    </row>
    <row r="71" spans="2:17" x14ac:dyDescent="0.25">
      <c r="B71" s="16" t="s">
        <v>6</v>
      </c>
      <c r="C71" s="5" t="s">
        <v>64</v>
      </c>
      <c r="D71" s="5">
        <v>20</v>
      </c>
      <c r="E71" s="5">
        <v>24.6</v>
      </c>
      <c r="F71" s="5">
        <v>4</v>
      </c>
      <c r="G71" s="5">
        <v>2</v>
      </c>
      <c r="H71" s="55">
        <v>12508.938547486034</v>
      </c>
      <c r="I71" s="5">
        <v>45</v>
      </c>
      <c r="J71" s="5">
        <v>84</v>
      </c>
      <c r="K71" s="5">
        <v>3</v>
      </c>
      <c r="L71" s="5">
        <v>1.5</v>
      </c>
      <c r="M71" s="5">
        <v>1</v>
      </c>
      <c r="N71" s="5">
        <v>0</v>
      </c>
      <c r="O71" s="5">
        <v>40</v>
      </c>
      <c r="P71" s="5">
        <v>1</v>
      </c>
      <c r="Q71" s="4">
        <v>90</v>
      </c>
    </row>
    <row r="72" spans="2:17" ht="15.75" thickBot="1" x14ac:dyDescent="0.3">
      <c r="B72" s="12" t="s">
        <v>6</v>
      </c>
      <c r="C72" s="11" t="s">
        <v>77</v>
      </c>
      <c r="D72" s="11">
        <v>20</v>
      </c>
      <c r="E72" s="11">
        <v>16.399999999999999</v>
      </c>
      <c r="F72" s="11">
        <v>9</v>
      </c>
      <c r="G72" s="11">
        <v>7</v>
      </c>
      <c r="H72" s="68">
        <v>1481.0204081632653</v>
      </c>
      <c r="I72" s="11">
        <v>45</v>
      </c>
      <c r="J72" s="11">
        <v>84</v>
      </c>
      <c r="K72" s="11">
        <v>3</v>
      </c>
      <c r="L72" s="11">
        <v>6</v>
      </c>
      <c r="M72" s="11">
        <v>15</v>
      </c>
      <c r="N72" s="11">
        <v>0</v>
      </c>
      <c r="O72" s="11">
        <v>40</v>
      </c>
      <c r="P72" s="11">
        <v>2</v>
      </c>
      <c r="Q72" s="67">
        <v>90</v>
      </c>
    </row>
    <row r="73" spans="2:17" x14ac:dyDescent="0.25">
      <c r="B73" s="87" t="s">
        <v>6</v>
      </c>
      <c r="C73" s="85" t="s">
        <v>51</v>
      </c>
      <c r="D73" s="85">
        <v>25</v>
      </c>
      <c r="E73" s="85">
        <v>17.2</v>
      </c>
      <c r="F73" s="85">
        <v>4</v>
      </c>
      <c r="G73" s="85">
        <v>3</v>
      </c>
      <c r="H73" s="86">
        <v>846.31578947368416</v>
      </c>
      <c r="I73" s="85">
        <v>45</v>
      </c>
      <c r="J73" s="85">
        <v>84</v>
      </c>
      <c r="K73" s="85">
        <v>7</v>
      </c>
      <c r="L73" s="85">
        <v>1.65</v>
      </c>
      <c r="M73" s="85">
        <v>1</v>
      </c>
      <c r="N73" s="85">
        <v>0.36916666666666664</v>
      </c>
      <c r="O73" s="85">
        <v>40</v>
      </c>
      <c r="P73" s="85">
        <v>2</v>
      </c>
      <c r="Q73" s="84">
        <v>90</v>
      </c>
    </row>
    <row r="74" spans="2:17" x14ac:dyDescent="0.25">
      <c r="B74" s="13" t="s">
        <v>6</v>
      </c>
      <c r="C74" s="3" t="s">
        <v>78</v>
      </c>
      <c r="D74" s="3">
        <v>25</v>
      </c>
      <c r="E74" s="3">
        <v>19.600000000000001</v>
      </c>
      <c r="F74" s="3">
        <v>19</v>
      </c>
      <c r="G74" s="3">
        <v>18</v>
      </c>
      <c r="H74" s="56">
        <v>3289.0510948905107</v>
      </c>
      <c r="I74" s="3">
        <v>45</v>
      </c>
      <c r="J74" s="3">
        <v>84</v>
      </c>
      <c r="K74" s="3">
        <v>3</v>
      </c>
      <c r="L74" s="3">
        <v>4.8</v>
      </c>
      <c r="M74" s="3">
        <v>15</v>
      </c>
      <c r="N74" s="3">
        <v>0</v>
      </c>
      <c r="O74" s="3">
        <v>40</v>
      </c>
      <c r="P74" s="3">
        <v>3</v>
      </c>
      <c r="Q74" s="2">
        <v>90</v>
      </c>
    </row>
    <row r="75" spans="2:17" x14ac:dyDescent="0.25">
      <c r="B75" s="13" t="s">
        <v>6</v>
      </c>
      <c r="C75" s="3" t="s">
        <v>64</v>
      </c>
      <c r="D75" s="3">
        <v>25</v>
      </c>
      <c r="E75" s="3">
        <v>16.100000000000001</v>
      </c>
      <c r="F75" s="3">
        <v>4</v>
      </c>
      <c r="G75" s="3">
        <v>4</v>
      </c>
      <c r="H75" s="56">
        <v>3415.1056910569105</v>
      </c>
      <c r="I75" s="3">
        <v>45</v>
      </c>
      <c r="J75" s="3">
        <v>84</v>
      </c>
      <c r="K75" s="3">
        <v>3</v>
      </c>
      <c r="L75" s="3">
        <v>2</v>
      </c>
      <c r="M75" s="3">
        <v>1</v>
      </c>
      <c r="N75" s="3">
        <v>0</v>
      </c>
      <c r="O75" s="3">
        <v>40</v>
      </c>
      <c r="P75" s="3">
        <v>2</v>
      </c>
      <c r="Q75" s="2">
        <v>90</v>
      </c>
    </row>
    <row r="76" spans="2:17" ht="15.75" thickBot="1" x14ac:dyDescent="0.3">
      <c r="B76" s="83" t="s">
        <v>6</v>
      </c>
      <c r="C76" s="81" t="s">
        <v>77</v>
      </c>
      <c r="D76" s="81">
        <v>25</v>
      </c>
      <c r="E76" s="81">
        <v>16.399999999999999</v>
      </c>
      <c r="F76" s="81">
        <v>9</v>
      </c>
      <c r="G76" s="81">
        <v>7</v>
      </c>
      <c r="H76" s="82">
        <v>1481.0204081632653</v>
      </c>
      <c r="I76" s="81">
        <v>45</v>
      </c>
      <c r="J76" s="81">
        <v>84</v>
      </c>
      <c r="K76" s="81">
        <v>3</v>
      </c>
      <c r="L76" s="81">
        <v>6</v>
      </c>
      <c r="M76" s="81">
        <v>15</v>
      </c>
      <c r="N76" s="81">
        <v>0</v>
      </c>
      <c r="O76" s="81">
        <v>40</v>
      </c>
      <c r="P76" s="81">
        <v>2</v>
      </c>
      <c r="Q76" s="80">
        <v>90</v>
      </c>
    </row>
    <row r="77" spans="2:17" ht="15.75" thickBot="1" x14ac:dyDescent="0.3">
      <c r="B77" s="91" t="s">
        <v>6</v>
      </c>
      <c r="C77" s="89" t="s">
        <v>50</v>
      </c>
      <c r="D77" s="89">
        <v>26</v>
      </c>
      <c r="E77" s="89">
        <v>21.5</v>
      </c>
      <c r="F77" s="89">
        <v>4</v>
      </c>
      <c r="G77" s="89">
        <v>4</v>
      </c>
      <c r="H77" s="90">
        <v>2452.246376811594</v>
      </c>
      <c r="I77" s="89">
        <v>45</v>
      </c>
      <c r="J77" s="89">
        <v>84</v>
      </c>
      <c r="K77" s="89">
        <v>7</v>
      </c>
      <c r="L77" s="89">
        <v>1.65</v>
      </c>
      <c r="M77" s="89">
        <v>1</v>
      </c>
      <c r="N77" s="89">
        <v>0.36916666666666664</v>
      </c>
      <c r="O77" s="89">
        <v>40</v>
      </c>
      <c r="P77" s="89">
        <v>2</v>
      </c>
      <c r="Q77" s="88">
        <v>90</v>
      </c>
    </row>
    <row r="78" spans="2:17" x14ac:dyDescent="0.25">
      <c r="B78" s="87" t="s">
        <v>6</v>
      </c>
      <c r="C78" s="85" t="s">
        <v>50</v>
      </c>
      <c r="D78" s="85">
        <v>27</v>
      </c>
      <c r="E78" s="85">
        <v>17.600000000000001</v>
      </c>
      <c r="F78" s="85">
        <v>4</v>
      </c>
      <c r="G78" s="85">
        <v>4</v>
      </c>
      <c r="H78" s="86">
        <v>1267.2857142857142</v>
      </c>
      <c r="I78" s="85">
        <v>45</v>
      </c>
      <c r="J78" s="85">
        <v>84</v>
      </c>
      <c r="K78" s="85">
        <v>7</v>
      </c>
      <c r="L78" s="85">
        <v>1.65</v>
      </c>
      <c r="M78" s="85">
        <v>1</v>
      </c>
      <c r="N78" s="85">
        <v>0.36916666666666664</v>
      </c>
      <c r="O78" s="85">
        <v>40</v>
      </c>
      <c r="P78" s="85">
        <v>2</v>
      </c>
      <c r="Q78" s="84">
        <v>90</v>
      </c>
    </row>
    <row r="79" spans="2:17" ht="15.75" thickBot="1" x14ac:dyDescent="0.3">
      <c r="B79" s="83" t="s">
        <v>6</v>
      </c>
      <c r="C79" s="81" t="s">
        <v>49</v>
      </c>
      <c r="D79" s="81">
        <v>27</v>
      </c>
      <c r="E79" s="81">
        <v>18</v>
      </c>
      <c r="F79" s="81">
        <v>8</v>
      </c>
      <c r="G79" s="81">
        <v>6</v>
      </c>
      <c r="H79" s="82">
        <v>1593.5566502463055</v>
      </c>
      <c r="I79" s="81">
        <v>45</v>
      </c>
      <c r="J79" s="81">
        <v>60</v>
      </c>
      <c r="K79" s="81">
        <v>7</v>
      </c>
      <c r="L79" s="81">
        <v>1.3</v>
      </c>
      <c r="M79" s="81">
        <v>1</v>
      </c>
      <c r="N79" s="81">
        <v>0</v>
      </c>
      <c r="O79" s="81">
        <v>40</v>
      </c>
      <c r="P79" s="81">
        <v>2</v>
      </c>
      <c r="Q79" s="80">
        <v>90</v>
      </c>
    </row>
    <row r="80" spans="2:17" x14ac:dyDescent="0.25">
      <c r="B80" s="22" t="s">
        <v>6</v>
      </c>
      <c r="C80" s="21" t="s">
        <v>49</v>
      </c>
      <c r="D80" s="21">
        <v>28</v>
      </c>
      <c r="E80" s="21">
        <v>18</v>
      </c>
      <c r="F80" s="21">
        <v>8</v>
      </c>
      <c r="G80" s="21">
        <v>4</v>
      </c>
      <c r="H80" s="57">
        <v>1593.5566502463055</v>
      </c>
      <c r="I80" s="21">
        <v>45</v>
      </c>
      <c r="J80" s="21">
        <v>60</v>
      </c>
      <c r="K80" s="21">
        <v>7</v>
      </c>
      <c r="L80" s="21">
        <v>1.3</v>
      </c>
      <c r="M80" s="21">
        <v>1</v>
      </c>
      <c r="N80" s="21">
        <v>0</v>
      </c>
      <c r="O80" s="21">
        <v>40</v>
      </c>
      <c r="P80" s="21">
        <v>2</v>
      </c>
      <c r="Q80" s="69">
        <v>90</v>
      </c>
    </row>
    <row r="81" spans="2:24" ht="15.75" thickBot="1" x14ac:dyDescent="0.3">
      <c r="B81" s="12" t="s">
        <v>6</v>
      </c>
      <c r="C81" s="11" t="s">
        <v>76</v>
      </c>
      <c r="D81" s="11">
        <v>28</v>
      </c>
      <c r="E81" s="11">
        <v>21.5</v>
      </c>
      <c r="F81" s="11">
        <v>4</v>
      </c>
      <c r="G81" s="11">
        <v>4</v>
      </c>
      <c r="H81" s="68">
        <v>2452.246376811594</v>
      </c>
      <c r="I81" s="11">
        <v>45</v>
      </c>
      <c r="J81" s="11">
        <v>84</v>
      </c>
      <c r="K81" s="11">
        <v>7</v>
      </c>
      <c r="L81" s="11">
        <v>1.65</v>
      </c>
      <c r="M81" s="11">
        <v>1</v>
      </c>
      <c r="N81" s="11">
        <v>0.36916666666666664</v>
      </c>
      <c r="O81" s="11">
        <v>40</v>
      </c>
      <c r="P81" s="11">
        <v>2</v>
      </c>
      <c r="Q81" s="67">
        <v>90</v>
      </c>
    </row>
    <row r="82" spans="2:24" x14ac:dyDescent="0.25">
      <c r="B82" s="87" t="s">
        <v>6</v>
      </c>
      <c r="C82" s="85" t="s">
        <v>48</v>
      </c>
      <c r="D82" s="85">
        <v>31</v>
      </c>
      <c r="E82" s="85">
        <v>14.1</v>
      </c>
      <c r="F82" s="85">
        <v>4</v>
      </c>
      <c r="G82" s="85">
        <v>4</v>
      </c>
      <c r="H82" s="86">
        <v>913.9212598425197</v>
      </c>
      <c r="I82" s="85">
        <v>45</v>
      </c>
      <c r="J82" s="85">
        <v>84</v>
      </c>
      <c r="K82" s="85">
        <v>4</v>
      </c>
      <c r="L82" s="85">
        <v>1.54</v>
      </c>
      <c r="M82" s="85">
        <v>1</v>
      </c>
      <c r="N82" s="85">
        <v>0.12938888888888889</v>
      </c>
      <c r="O82" s="85">
        <v>40</v>
      </c>
      <c r="P82" s="85">
        <v>2</v>
      </c>
      <c r="Q82" s="84">
        <v>90</v>
      </c>
    </row>
    <row r="83" spans="2:24" ht="15.75" thickBot="1" x14ac:dyDescent="0.3">
      <c r="B83" s="83" t="s">
        <v>6</v>
      </c>
      <c r="C83" s="81" t="s">
        <v>49</v>
      </c>
      <c r="D83" s="81">
        <v>31</v>
      </c>
      <c r="E83" s="81">
        <v>18</v>
      </c>
      <c r="F83" s="81">
        <v>8</v>
      </c>
      <c r="G83" s="81">
        <v>4</v>
      </c>
      <c r="H83" s="82">
        <v>1593.5566502463055</v>
      </c>
      <c r="I83" s="81">
        <v>45</v>
      </c>
      <c r="J83" s="81">
        <v>60</v>
      </c>
      <c r="K83" s="81">
        <v>7</v>
      </c>
      <c r="L83" s="81">
        <v>1.3</v>
      </c>
      <c r="M83" s="81">
        <v>1</v>
      </c>
      <c r="N83" s="81">
        <v>0</v>
      </c>
      <c r="O83" s="81">
        <v>40</v>
      </c>
      <c r="P83" s="81">
        <v>2</v>
      </c>
      <c r="Q83" s="80">
        <v>90</v>
      </c>
    </row>
    <row r="84" spans="2:24" ht="15.75" thickBot="1" x14ac:dyDescent="0.3">
      <c r="B84" s="22" t="s">
        <v>6</v>
      </c>
      <c r="C84" s="21" t="s">
        <v>48</v>
      </c>
      <c r="D84" s="21">
        <v>32</v>
      </c>
      <c r="E84" s="21">
        <v>15.6</v>
      </c>
      <c r="F84" s="21">
        <v>4</v>
      </c>
      <c r="G84" s="21">
        <v>4</v>
      </c>
      <c r="H84" s="57">
        <v>1050.8187919463087</v>
      </c>
      <c r="I84" s="21">
        <v>45</v>
      </c>
      <c r="J84" s="21">
        <v>84</v>
      </c>
      <c r="K84" s="21">
        <v>4</v>
      </c>
      <c r="L84" s="21">
        <v>1.54</v>
      </c>
      <c r="M84" s="21">
        <v>1</v>
      </c>
      <c r="N84" s="21">
        <v>0.12938888888888889</v>
      </c>
      <c r="O84" s="21">
        <v>40</v>
      </c>
      <c r="P84" s="21">
        <v>2</v>
      </c>
      <c r="Q84" s="69">
        <v>90</v>
      </c>
    </row>
    <row r="85" spans="2:24" x14ac:dyDescent="0.25">
      <c r="B85" s="79" t="s">
        <v>6</v>
      </c>
      <c r="C85" s="76" t="s">
        <v>47</v>
      </c>
      <c r="D85" s="78">
        <v>33</v>
      </c>
      <c r="E85" s="78">
        <v>16.600000000000001</v>
      </c>
      <c r="F85" s="78">
        <v>4</v>
      </c>
      <c r="G85" s="78">
        <v>4</v>
      </c>
      <c r="H85" s="77">
        <v>1000</v>
      </c>
      <c r="I85" s="76">
        <v>45</v>
      </c>
      <c r="J85" s="76">
        <v>84</v>
      </c>
      <c r="K85" s="76">
        <v>4</v>
      </c>
      <c r="L85" s="76">
        <v>1.5</v>
      </c>
      <c r="M85" s="76">
        <v>3</v>
      </c>
      <c r="N85" s="76">
        <v>0</v>
      </c>
      <c r="O85" s="76">
        <v>40</v>
      </c>
      <c r="P85" s="76">
        <v>2</v>
      </c>
      <c r="Q85" s="75">
        <v>90</v>
      </c>
    </row>
    <row r="86" spans="2:24" x14ac:dyDescent="0.25">
      <c r="B86" s="74" t="s">
        <v>6</v>
      </c>
      <c r="C86" s="71" t="s">
        <v>49</v>
      </c>
      <c r="D86" s="73">
        <v>33</v>
      </c>
      <c r="E86" s="73">
        <v>18</v>
      </c>
      <c r="F86" s="73">
        <v>8</v>
      </c>
      <c r="G86" s="73">
        <v>4</v>
      </c>
      <c r="H86" s="72">
        <v>1593.5566502463055</v>
      </c>
      <c r="I86" s="71">
        <v>45</v>
      </c>
      <c r="J86" s="71">
        <v>60</v>
      </c>
      <c r="K86" s="71">
        <v>7</v>
      </c>
      <c r="L86" s="71">
        <v>1.3</v>
      </c>
      <c r="M86" s="71">
        <v>1</v>
      </c>
      <c r="N86" s="71">
        <v>0</v>
      </c>
      <c r="O86" s="71">
        <v>40</v>
      </c>
      <c r="P86" s="71">
        <v>2</v>
      </c>
      <c r="Q86" s="70">
        <v>90</v>
      </c>
    </row>
    <row r="87" spans="2:24" ht="15.75" thickBot="1" x14ac:dyDescent="0.3">
      <c r="B87" s="74" t="s">
        <v>6</v>
      </c>
      <c r="C87" s="71" t="s">
        <v>75</v>
      </c>
      <c r="D87" s="73">
        <v>33</v>
      </c>
      <c r="E87" s="73">
        <v>21.5</v>
      </c>
      <c r="F87" s="73">
        <v>4</v>
      </c>
      <c r="G87" s="73">
        <v>4</v>
      </c>
      <c r="H87" s="72">
        <v>2452.246376811594</v>
      </c>
      <c r="I87" s="71">
        <v>45</v>
      </c>
      <c r="J87" s="71">
        <v>84</v>
      </c>
      <c r="K87" s="71">
        <v>7</v>
      </c>
      <c r="L87" s="71">
        <v>1.65</v>
      </c>
      <c r="M87" s="71">
        <v>1</v>
      </c>
      <c r="N87" s="71">
        <v>0.36916666666666664</v>
      </c>
      <c r="O87" s="71">
        <v>40</v>
      </c>
      <c r="P87" s="71">
        <v>2</v>
      </c>
      <c r="Q87" s="70">
        <v>90</v>
      </c>
    </row>
    <row r="88" spans="2:24" x14ac:dyDescent="0.25">
      <c r="B88" s="22" t="s">
        <v>6</v>
      </c>
      <c r="C88" s="21" t="s">
        <v>46</v>
      </c>
      <c r="D88" s="21">
        <v>36</v>
      </c>
      <c r="E88" s="21">
        <v>17.100000000000001</v>
      </c>
      <c r="F88" s="21">
        <v>4</v>
      </c>
      <c r="G88" s="21">
        <v>4</v>
      </c>
      <c r="H88" s="57">
        <v>3047.4181818181819</v>
      </c>
      <c r="I88" s="21">
        <v>45</v>
      </c>
      <c r="J88" s="21">
        <v>84</v>
      </c>
      <c r="K88" s="21">
        <v>4</v>
      </c>
      <c r="L88" s="21">
        <v>1.65</v>
      </c>
      <c r="M88" s="21">
        <v>1</v>
      </c>
      <c r="N88" s="21">
        <v>0.36916666666666664</v>
      </c>
      <c r="O88" s="21">
        <v>40</v>
      </c>
      <c r="P88" s="21">
        <v>3</v>
      </c>
      <c r="Q88" s="69">
        <v>90</v>
      </c>
    </row>
    <row r="89" spans="2:24" x14ac:dyDescent="0.25">
      <c r="B89" s="16" t="s">
        <v>6</v>
      </c>
      <c r="C89" s="5" t="s">
        <v>58</v>
      </c>
      <c r="D89" s="5">
        <v>36</v>
      </c>
      <c r="E89" s="5">
        <v>10.8</v>
      </c>
      <c r="F89" s="5">
        <v>12</v>
      </c>
      <c r="G89" s="5">
        <v>4</v>
      </c>
      <c r="H89" s="55">
        <v>3289.0510948905107</v>
      </c>
      <c r="I89" s="5">
        <v>45</v>
      </c>
      <c r="J89" s="5">
        <v>84</v>
      </c>
      <c r="K89" s="5">
        <v>3</v>
      </c>
      <c r="L89" s="5">
        <v>4.5999999999999996</v>
      </c>
      <c r="M89" s="5">
        <v>10</v>
      </c>
      <c r="N89" s="5">
        <v>0</v>
      </c>
      <c r="O89" s="5">
        <v>40</v>
      </c>
      <c r="P89" s="5">
        <v>3</v>
      </c>
      <c r="Q89" s="4">
        <v>90</v>
      </c>
    </row>
    <row r="90" spans="2:24" ht="15.75" thickBot="1" x14ac:dyDescent="0.3">
      <c r="B90" s="12" t="s">
        <v>6</v>
      </c>
      <c r="C90" s="11" t="s">
        <v>48</v>
      </c>
      <c r="D90" s="11">
        <v>36</v>
      </c>
      <c r="E90" s="11">
        <v>15.6</v>
      </c>
      <c r="F90" s="11">
        <v>4</v>
      </c>
      <c r="G90" s="11">
        <v>4</v>
      </c>
      <c r="H90" s="68">
        <v>1050.8187919463087</v>
      </c>
      <c r="I90" s="11">
        <v>45</v>
      </c>
      <c r="J90" s="11">
        <v>84</v>
      </c>
      <c r="K90" s="11">
        <v>4</v>
      </c>
      <c r="L90" s="11">
        <v>1.54</v>
      </c>
      <c r="M90" s="11">
        <v>1</v>
      </c>
      <c r="N90" s="11">
        <v>0.12938888888888889</v>
      </c>
      <c r="O90" s="11">
        <v>40</v>
      </c>
      <c r="P90" s="11">
        <v>2</v>
      </c>
      <c r="Q90" s="67">
        <v>90</v>
      </c>
    </row>
    <row r="92" spans="2:24" x14ac:dyDescent="0.25">
      <c r="B92" s="1"/>
      <c r="C92" s="1"/>
      <c r="D92" s="1"/>
      <c r="E92" s="1"/>
      <c r="F92" s="1"/>
      <c r="G92" s="1"/>
      <c r="H92" s="1"/>
      <c r="I92" s="111"/>
      <c r="J92" s="111"/>
      <c r="K92" s="111"/>
      <c r="L92" s="111"/>
      <c r="M92" s="123"/>
      <c r="N92" s="123"/>
      <c r="O92" s="123"/>
      <c r="P92" s="123"/>
      <c r="Q92" s="59"/>
      <c r="R92" s="59"/>
      <c r="S92" s="59"/>
      <c r="T92" s="59"/>
      <c r="U92" s="59"/>
      <c r="V92" s="59"/>
      <c r="W92" s="59"/>
      <c r="X92" s="59"/>
    </row>
    <row r="93" spans="2:24" x14ac:dyDescent="0.25">
      <c r="H93" s="110"/>
      <c r="I93" s="110"/>
      <c r="J93" s="110"/>
      <c r="K93" s="110"/>
      <c r="L93" s="110"/>
      <c r="M93" s="110"/>
      <c r="N93" s="110"/>
      <c r="O93" s="110"/>
      <c r="P93" s="110"/>
      <c r="Q93" s="59"/>
      <c r="R93" s="59"/>
      <c r="S93" s="59"/>
      <c r="T93" s="59"/>
      <c r="U93" s="59"/>
      <c r="V93" s="59"/>
      <c r="W93" s="59"/>
      <c r="X93" s="59"/>
    </row>
    <row r="94" spans="2:24" x14ac:dyDescent="0.25">
      <c r="H94" s="112"/>
      <c r="I94" s="111"/>
      <c r="J94" s="111"/>
      <c r="K94" s="111"/>
      <c r="L94" s="111"/>
      <c r="M94" s="111"/>
      <c r="N94" s="111"/>
      <c r="O94" s="111"/>
      <c r="P94" s="111"/>
      <c r="Q94" s="59"/>
      <c r="R94" s="59"/>
      <c r="S94" s="113"/>
      <c r="T94" s="113"/>
      <c r="U94" s="59"/>
      <c r="V94" s="59"/>
      <c r="W94" s="59"/>
      <c r="X94" s="59"/>
    </row>
    <row r="95" spans="2:24" x14ac:dyDescent="0.25">
      <c r="H95" s="112"/>
      <c r="I95" s="111"/>
      <c r="J95" s="111"/>
      <c r="K95" s="111"/>
      <c r="L95" s="111"/>
      <c r="M95" s="111"/>
      <c r="N95" s="111"/>
      <c r="O95" s="111"/>
      <c r="P95" s="111"/>
      <c r="Q95" s="59"/>
      <c r="R95" s="59"/>
      <c r="S95" s="113"/>
      <c r="T95" s="115"/>
      <c r="U95" s="59"/>
      <c r="V95" s="59"/>
      <c r="W95" s="59"/>
      <c r="X95" s="59"/>
    </row>
    <row r="96" spans="2:24" x14ac:dyDescent="0.25">
      <c r="B96" s="111"/>
      <c r="H96" s="112"/>
      <c r="I96" s="111"/>
      <c r="J96" s="111"/>
      <c r="K96" s="111"/>
      <c r="L96" s="111"/>
      <c r="M96" s="111"/>
      <c r="N96" s="111"/>
      <c r="O96" s="111"/>
      <c r="P96" s="111"/>
      <c r="Q96" s="59"/>
      <c r="R96" s="59"/>
      <c r="S96" s="113"/>
      <c r="T96" s="115"/>
      <c r="U96" s="59"/>
      <c r="V96" s="59"/>
      <c r="W96" s="59"/>
      <c r="X96" s="59"/>
    </row>
    <row r="97" spans="2:24" x14ac:dyDescent="0.25">
      <c r="B97" s="111"/>
      <c r="D97" s="112"/>
      <c r="E97" s="111"/>
      <c r="F97" s="111"/>
      <c r="G97" s="111"/>
      <c r="H97" s="112"/>
      <c r="I97" s="111"/>
      <c r="J97" s="111"/>
      <c r="K97" s="111"/>
      <c r="L97" s="111"/>
      <c r="M97" s="111"/>
      <c r="N97" s="111"/>
      <c r="O97" s="111"/>
      <c r="P97" s="111"/>
      <c r="Q97" s="59"/>
      <c r="R97" s="59"/>
      <c r="S97" s="113"/>
      <c r="T97" s="115"/>
      <c r="U97" s="59"/>
      <c r="V97" s="59"/>
      <c r="W97" s="59"/>
      <c r="X97" s="59"/>
    </row>
    <row r="98" spans="2:24" x14ac:dyDescent="0.25">
      <c r="B98" s="111"/>
      <c r="C98" s="111"/>
      <c r="D98" s="112"/>
      <c r="E98" s="111"/>
      <c r="F98" s="111"/>
      <c r="G98" s="111"/>
      <c r="H98" s="112"/>
      <c r="I98" s="111"/>
      <c r="J98" s="111"/>
      <c r="K98" s="111"/>
      <c r="L98" s="111"/>
      <c r="M98" s="111"/>
      <c r="N98" s="111"/>
      <c r="O98" s="111"/>
      <c r="P98" s="111"/>
      <c r="Q98" s="59"/>
      <c r="R98" s="59"/>
      <c r="S98" s="113"/>
      <c r="T98" s="113"/>
      <c r="U98" s="59"/>
      <c r="V98" s="59"/>
      <c r="W98" s="59"/>
      <c r="X98" s="59"/>
    </row>
    <row r="99" spans="2:24" x14ac:dyDescent="0.25">
      <c r="B99" s="111"/>
      <c r="C99" s="111"/>
      <c r="D99" s="112"/>
      <c r="E99" s="111"/>
      <c r="F99" s="111"/>
      <c r="G99" s="111"/>
      <c r="H99" s="112"/>
      <c r="I99" s="111"/>
      <c r="J99" s="111"/>
      <c r="K99" s="111"/>
      <c r="L99" s="111"/>
      <c r="M99" s="111"/>
      <c r="N99" s="111"/>
      <c r="O99" s="111"/>
      <c r="P99" s="111"/>
      <c r="Q99" s="59"/>
      <c r="R99" s="59"/>
      <c r="S99" s="114"/>
      <c r="T99" s="116"/>
      <c r="U99" s="59"/>
      <c r="V99" s="59"/>
      <c r="W99" s="59"/>
      <c r="X99" s="59"/>
    </row>
    <row r="100" spans="2:24" x14ac:dyDescent="0.25">
      <c r="B100" s="111"/>
      <c r="C100" s="111"/>
      <c r="D100" s="112"/>
      <c r="E100" s="111"/>
      <c r="F100" s="111"/>
      <c r="G100" s="111"/>
      <c r="H100" s="112"/>
      <c r="I100" s="111"/>
      <c r="J100" s="111"/>
      <c r="K100" s="111"/>
      <c r="L100" s="111"/>
      <c r="M100" s="111"/>
      <c r="N100" s="111"/>
      <c r="O100" s="111"/>
      <c r="P100" s="111"/>
      <c r="Q100" s="59"/>
      <c r="R100" s="59"/>
      <c r="S100" s="59"/>
      <c r="T100" s="59"/>
      <c r="U100" s="59"/>
      <c r="V100" s="59"/>
      <c r="W100" s="59"/>
      <c r="X100" s="59"/>
    </row>
    <row r="101" spans="2:24" x14ac:dyDescent="0.25">
      <c r="B101" s="111"/>
      <c r="C101" s="111"/>
      <c r="D101" s="112"/>
      <c r="E101" s="111"/>
      <c r="F101" s="111"/>
      <c r="G101" s="111"/>
      <c r="H101" s="112"/>
      <c r="I101" s="111"/>
      <c r="J101" s="111"/>
      <c r="K101" s="111"/>
      <c r="L101" s="111"/>
      <c r="M101" s="111"/>
      <c r="N101" s="111"/>
      <c r="O101" s="111"/>
      <c r="P101" s="111"/>
      <c r="Q101" s="59"/>
      <c r="R101" s="59"/>
      <c r="S101" s="59"/>
      <c r="T101" s="59"/>
      <c r="U101" s="59"/>
      <c r="V101" s="59"/>
      <c r="W101" s="59"/>
      <c r="X101" s="59"/>
    </row>
    <row r="102" spans="2:24" x14ac:dyDescent="0.25">
      <c r="B102" s="111"/>
      <c r="C102" s="111"/>
      <c r="D102" s="112"/>
      <c r="E102" s="111"/>
      <c r="F102" s="111"/>
      <c r="G102" s="111"/>
      <c r="H102" s="112"/>
      <c r="I102" s="111"/>
      <c r="J102" s="111"/>
      <c r="K102" s="111"/>
      <c r="L102" s="111"/>
      <c r="M102" s="111"/>
      <c r="N102" s="111"/>
      <c r="O102" s="111"/>
      <c r="P102" s="111"/>
      <c r="Q102" s="59"/>
      <c r="R102" s="59"/>
      <c r="S102" s="59"/>
      <c r="T102" s="59"/>
      <c r="U102" s="59"/>
      <c r="V102" s="59"/>
      <c r="W102" s="59"/>
      <c r="X102" s="59"/>
    </row>
    <row r="103" spans="2:24" x14ac:dyDescent="0.25">
      <c r="B103" s="111"/>
      <c r="C103" s="111"/>
      <c r="D103" s="112"/>
      <c r="E103" s="111"/>
      <c r="F103" s="111"/>
      <c r="G103" s="111"/>
      <c r="H103" s="112"/>
      <c r="I103" s="111"/>
      <c r="J103" s="111"/>
      <c r="K103" s="111"/>
      <c r="L103" s="111"/>
      <c r="M103" s="111"/>
      <c r="N103" s="111"/>
      <c r="O103" s="111"/>
      <c r="P103" s="111"/>
      <c r="Q103" s="59"/>
      <c r="R103" s="59"/>
      <c r="S103" s="59"/>
      <c r="T103" s="59"/>
      <c r="U103" s="59"/>
      <c r="V103" s="59"/>
      <c r="W103" s="59"/>
      <c r="X103" s="59"/>
    </row>
    <row r="104" spans="2:24" x14ac:dyDescent="0.25">
      <c r="B104" s="111"/>
      <c r="C104" s="111"/>
      <c r="D104" s="112"/>
      <c r="E104" s="111"/>
      <c r="F104" s="111"/>
      <c r="G104" s="111"/>
      <c r="H104" s="112"/>
      <c r="I104" s="111"/>
      <c r="J104" s="111"/>
      <c r="K104" s="111"/>
      <c r="L104" s="111"/>
      <c r="M104" s="111"/>
      <c r="N104" s="111"/>
      <c r="O104" s="111"/>
      <c r="P104" s="111"/>
      <c r="Q104" s="59"/>
      <c r="R104" s="59"/>
      <c r="S104" s="59"/>
      <c r="T104" s="59"/>
      <c r="U104" s="59"/>
      <c r="V104" s="59"/>
      <c r="W104" s="59"/>
      <c r="X104" s="59"/>
    </row>
    <row r="105" spans="2:24" x14ac:dyDescent="0.25">
      <c r="B105" s="111"/>
      <c r="C105" s="111"/>
      <c r="D105" s="112"/>
      <c r="E105" s="111"/>
      <c r="F105" s="111"/>
      <c r="G105" s="111"/>
      <c r="H105" s="112"/>
      <c r="I105" s="111"/>
      <c r="J105" s="111"/>
      <c r="K105" s="111"/>
      <c r="L105" s="111"/>
      <c r="M105" s="111"/>
      <c r="N105" s="111"/>
      <c r="O105" s="111"/>
      <c r="P105" s="111"/>
      <c r="Q105" s="59"/>
      <c r="R105" s="59"/>
      <c r="S105" s="59"/>
      <c r="T105" s="59"/>
      <c r="U105" s="59"/>
      <c r="V105" s="59"/>
      <c r="W105" s="59"/>
      <c r="X105" s="59"/>
    </row>
    <row r="106" spans="2:24" x14ac:dyDescent="0.25">
      <c r="B106" s="111"/>
      <c r="C106" s="111"/>
      <c r="D106" s="112"/>
      <c r="E106" s="111"/>
      <c r="F106" s="111"/>
      <c r="G106" s="111"/>
      <c r="H106" s="112"/>
      <c r="I106" s="111"/>
      <c r="J106" s="111"/>
      <c r="K106" s="111"/>
      <c r="L106" s="111"/>
      <c r="M106" s="111"/>
      <c r="N106" s="111"/>
      <c r="O106" s="111"/>
      <c r="P106" s="111"/>
      <c r="Q106" s="59"/>
      <c r="R106" s="59"/>
      <c r="S106" s="59"/>
      <c r="T106" s="59"/>
      <c r="U106" s="59"/>
      <c r="V106" s="59"/>
      <c r="W106" s="59"/>
      <c r="X106" s="59"/>
    </row>
    <row r="107" spans="2:24" x14ac:dyDescent="0.25">
      <c r="B107" s="111"/>
      <c r="C107" s="111"/>
      <c r="D107" s="112"/>
      <c r="E107" s="111"/>
      <c r="F107" s="111"/>
      <c r="G107" s="111"/>
      <c r="H107" s="112"/>
      <c r="I107" s="111"/>
      <c r="J107" s="111"/>
      <c r="K107" s="111"/>
      <c r="L107" s="111"/>
      <c r="M107" s="111"/>
      <c r="N107" s="111"/>
      <c r="O107" s="111"/>
      <c r="P107" s="111"/>
      <c r="Q107" s="59"/>
      <c r="R107" s="59"/>
      <c r="S107" s="59"/>
      <c r="T107" s="59"/>
      <c r="U107" s="59"/>
      <c r="V107" s="59"/>
      <c r="W107" s="59"/>
      <c r="X107" s="59"/>
    </row>
    <row r="108" spans="2:24" x14ac:dyDescent="0.25">
      <c r="B108" s="111"/>
      <c r="C108" s="111"/>
      <c r="D108" s="112"/>
      <c r="E108" s="111"/>
      <c r="F108" s="111"/>
      <c r="G108" s="111"/>
      <c r="H108" s="112"/>
      <c r="I108" s="111"/>
      <c r="J108" s="111"/>
      <c r="K108" s="111"/>
      <c r="L108" s="111"/>
      <c r="M108" s="111"/>
      <c r="N108" s="111"/>
      <c r="O108" s="111"/>
      <c r="P108" s="111"/>
      <c r="Q108" s="59"/>
      <c r="R108" s="59"/>
      <c r="S108" s="59"/>
    </row>
    <row r="109" spans="2:24" x14ac:dyDescent="0.25">
      <c r="B109" s="111"/>
      <c r="C109" s="111"/>
      <c r="D109" s="112"/>
      <c r="E109" s="111"/>
      <c r="F109" s="111"/>
      <c r="G109" s="111"/>
      <c r="H109" s="112"/>
      <c r="I109" s="111"/>
      <c r="J109" s="111"/>
      <c r="K109" s="111"/>
      <c r="L109" s="111"/>
      <c r="M109" s="111"/>
      <c r="N109" s="111"/>
      <c r="O109" s="111"/>
      <c r="P109" s="111"/>
      <c r="Q109" s="59"/>
      <c r="R109" s="59"/>
      <c r="S109" s="59"/>
    </row>
    <row r="110" spans="2:24" x14ac:dyDescent="0.25">
      <c r="B110" s="111"/>
      <c r="C110" s="111"/>
      <c r="D110" s="112"/>
      <c r="E110" s="111"/>
      <c r="F110" s="111"/>
      <c r="G110" s="111"/>
      <c r="H110" s="112"/>
      <c r="I110" s="111"/>
      <c r="J110" s="111"/>
      <c r="K110" s="111"/>
      <c r="L110" s="111"/>
      <c r="M110" s="111"/>
      <c r="N110" s="111"/>
      <c r="O110" s="111"/>
      <c r="P110" s="111"/>
      <c r="Q110" s="59"/>
      <c r="R110" s="59"/>
      <c r="S110" s="59"/>
    </row>
    <row r="111" spans="2:24" x14ac:dyDescent="0.25">
      <c r="B111" s="111"/>
      <c r="C111" s="111"/>
      <c r="D111" s="112"/>
      <c r="E111" s="111"/>
      <c r="F111" s="111"/>
      <c r="G111" s="111"/>
      <c r="H111" s="112"/>
      <c r="I111" s="111"/>
      <c r="J111" s="111"/>
      <c r="K111" s="111"/>
      <c r="L111" s="111"/>
      <c r="M111" s="111"/>
      <c r="N111" s="111"/>
      <c r="O111" s="111"/>
      <c r="P111" s="111"/>
      <c r="Q111" s="59"/>
      <c r="R111" s="59"/>
      <c r="S111" s="59"/>
    </row>
    <row r="112" spans="2:24" x14ac:dyDescent="0.25">
      <c r="B112" s="111"/>
      <c r="C112" s="111"/>
      <c r="D112" s="112"/>
      <c r="E112" s="111"/>
      <c r="F112" s="111"/>
      <c r="G112" s="111"/>
      <c r="H112" s="112"/>
      <c r="I112" s="111"/>
      <c r="J112" s="111"/>
      <c r="K112" s="111"/>
      <c r="L112" s="111"/>
      <c r="M112" s="111"/>
      <c r="N112" s="111"/>
      <c r="O112" s="111"/>
      <c r="P112" s="111"/>
      <c r="Q112" s="59"/>
      <c r="R112" s="59"/>
      <c r="S112" s="59"/>
    </row>
    <row r="113" spans="2:19" x14ac:dyDescent="0.25">
      <c r="B113" s="111"/>
      <c r="C113" s="111"/>
      <c r="D113" s="112"/>
      <c r="E113" s="111"/>
      <c r="F113" s="111"/>
      <c r="G113" s="111"/>
      <c r="H113" s="112"/>
      <c r="I113" s="111"/>
      <c r="J113" s="111"/>
      <c r="K113" s="111"/>
      <c r="L113" s="111"/>
      <c r="M113" s="111"/>
      <c r="N113" s="111"/>
      <c r="O113" s="111"/>
      <c r="P113" s="111"/>
      <c r="Q113" s="59"/>
      <c r="R113" s="59"/>
      <c r="S113" s="59"/>
    </row>
    <row r="114" spans="2:19" x14ac:dyDescent="0.25">
      <c r="B114" s="111"/>
      <c r="C114" s="111"/>
      <c r="D114" s="112"/>
      <c r="E114" s="111"/>
      <c r="F114" s="111"/>
      <c r="G114" s="111"/>
      <c r="H114" s="112"/>
      <c r="I114" s="111"/>
      <c r="J114" s="111"/>
      <c r="K114" s="111"/>
      <c r="L114" s="111"/>
      <c r="M114" s="111"/>
      <c r="N114" s="111"/>
      <c r="O114" s="111"/>
      <c r="P114" s="111"/>
      <c r="Q114" s="59"/>
      <c r="R114" s="59"/>
      <c r="S114" s="59"/>
    </row>
    <row r="115" spans="2:19" x14ac:dyDescent="0.25">
      <c r="B115" s="111"/>
      <c r="C115" s="111"/>
      <c r="D115" s="112"/>
      <c r="E115" s="111"/>
      <c r="F115" s="111"/>
      <c r="G115" s="111"/>
      <c r="H115" s="112"/>
      <c r="I115" s="111"/>
      <c r="J115" s="111"/>
      <c r="K115" s="111"/>
      <c r="L115" s="111"/>
      <c r="M115" s="111"/>
      <c r="N115" s="111"/>
      <c r="O115" s="111"/>
      <c r="P115" s="111"/>
      <c r="Q115" s="59"/>
      <c r="R115" s="59"/>
      <c r="S115" s="59"/>
    </row>
    <row r="116" spans="2:19" x14ac:dyDescent="0.25">
      <c r="B116" s="111"/>
      <c r="C116" s="111"/>
      <c r="D116" s="112"/>
      <c r="E116" s="111"/>
      <c r="F116" s="111"/>
      <c r="G116" s="111"/>
      <c r="H116" s="112"/>
      <c r="I116" s="111"/>
      <c r="J116" s="111"/>
      <c r="K116" s="111"/>
      <c r="L116" s="111"/>
      <c r="M116" s="111"/>
      <c r="N116" s="111"/>
      <c r="O116" s="111"/>
      <c r="P116" s="111"/>
      <c r="Q116" s="59"/>
      <c r="R116" s="59"/>
      <c r="S116" s="59"/>
    </row>
    <row r="117" spans="2:19" x14ac:dyDescent="0.25">
      <c r="B117" s="111"/>
      <c r="C117" s="111"/>
      <c r="D117" s="112"/>
      <c r="E117" s="111"/>
      <c r="F117" s="111"/>
      <c r="G117" s="111"/>
      <c r="H117" s="112"/>
      <c r="I117" s="111"/>
      <c r="J117" s="111"/>
      <c r="K117" s="111"/>
      <c r="L117" s="111"/>
      <c r="M117" s="111"/>
      <c r="N117" s="111"/>
      <c r="O117" s="111"/>
      <c r="P117" s="111"/>
      <c r="Q117" s="59"/>
      <c r="R117" s="59"/>
      <c r="S117" s="59"/>
    </row>
    <row r="118" spans="2:19" x14ac:dyDescent="0.25">
      <c r="B118" s="111"/>
      <c r="C118" s="111"/>
      <c r="D118" s="112"/>
      <c r="E118" s="111"/>
      <c r="F118" s="111"/>
      <c r="G118" s="111"/>
      <c r="H118" s="112"/>
      <c r="I118" s="111"/>
      <c r="J118" s="111"/>
      <c r="K118" s="111"/>
      <c r="L118" s="111"/>
      <c r="M118" s="111"/>
      <c r="N118" s="111"/>
      <c r="O118" s="111"/>
      <c r="P118" s="111"/>
      <c r="Q118" s="59"/>
      <c r="R118" s="59"/>
      <c r="S118" s="59"/>
    </row>
    <row r="119" spans="2:19" x14ac:dyDescent="0.25">
      <c r="B119" s="111"/>
      <c r="C119" s="111"/>
      <c r="D119" s="112"/>
      <c r="E119" s="111"/>
      <c r="F119" s="111"/>
      <c r="G119" s="111"/>
      <c r="H119" s="112"/>
      <c r="I119" s="111"/>
      <c r="J119" s="111"/>
      <c r="K119" s="111"/>
      <c r="L119" s="111"/>
      <c r="M119" s="111"/>
      <c r="N119" s="111"/>
      <c r="O119" s="111"/>
      <c r="P119" s="111"/>
      <c r="Q119" s="59"/>
      <c r="R119" s="59"/>
      <c r="S119" s="59"/>
    </row>
    <row r="120" spans="2:19" x14ac:dyDescent="0.25">
      <c r="B120" s="111"/>
      <c r="C120" s="111"/>
      <c r="D120" s="112"/>
      <c r="E120" s="111"/>
      <c r="F120" s="111"/>
      <c r="G120" s="111"/>
      <c r="H120" s="112"/>
      <c r="I120" s="111"/>
      <c r="J120" s="111"/>
      <c r="K120" s="111"/>
      <c r="L120" s="111"/>
      <c r="M120" s="111"/>
      <c r="N120" s="111"/>
      <c r="O120" s="111"/>
      <c r="P120" s="111"/>
      <c r="Q120" s="59"/>
      <c r="R120" s="59"/>
      <c r="S120" s="59"/>
    </row>
    <row r="121" spans="2:19" x14ac:dyDescent="0.25">
      <c r="B121" s="111"/>
      <c r="C121" s="111"/>
      <c r="D121" s="112"/>
      <c r="E121" s="111"/>
      <c r="F121" s="111"/>
      <c r="G121" s="111"/>
      <c r="H121" s="112"/>
      <c r="I121" s="111"/>
      <c r="J121" s="111"/>
      <c r="K121" s="111"/>
      <c r="L121" s="111"/>
      <c r="M121" s="111"/>
      <c r="N121" s="111"/>
      <c r="O121" s="111"/>
      <c r="P121" s="111"/>
      <c r="Q121" s="59"/>
      <c r="R121" s="59"/>
      <c r="S121" s="59"/>
    </row>
    <row r="122" spans="2:19" x14ac:dyDescent="0.25">
      <c r="B122" s="111"/>
      <c r="C122" s="111"/>
      <c r="D122" s="112"/>
      <c r="E122" s="111"/>
      <c r="F122" s="111"/>
      <c r="G122" s="111"/>
      <c r="H122" s="112"/>
      <c r="I122" s="111"/>
      <c r="J122" s="111"/>
      <c r="K122" s="111"/>
      <c r="L122" s="111"/>
      <c r="M122" s="111"/>
      <c r="N122" s="111"/>
      <c r="O122" s="111"/>
      <c r="P122" s="111"/>
      <c r="Q122" s="59"/>
      <c r="R122" s="59"/>
      <c r="S122" s="59"/>
    </row>
    <row r="123" spans="2:19" x14ac:dyDescent="0.25">
      <c r="B123" s="111"/>
      <c r="C123" s="111"/>
      <c r="D123" s="112"/>
      <c r="E123" s="111"/>
      <c r="F123" s="111"/>
      <c r="G123" s="111"/>
      <c r="H123" s="112"/>
      <c r="I123" s="111"/>
      <c r="J123" s="111"/>
      <c r="K123" s="111"/>
      <c r="L123" s="111"/>
      <c r="M123" s="111"/>
      <c r="N123" s="111"/>
      <c r="O123" s="111"/>
      <c r="P123" s="111"/>
      <c r="Q123" s="59"/>
      <c r="R123" s="59"/>
      <c r="S123" s="59"/>
    </row>
    <row r="124" spans="2:19" x14ac:dyDescent="0.25">
      <c r="B124" s="111"/>
      <c r="C124" s="111"/>
      <c r="D124" s="112"/>
      <c r="E124" s="111"/>
      <c r="F124" s="111"/>
      <c r="G124" s="111"/>
      <c r="H124" s="112"/>
      <c r="I124" s="111"/>
      <c r="J124" s="111"/>
      <c r="K124" s="111"/>
      <c r="L124" s="111"/>
      <c r="M124" s="111"/>
      <c r="N124" s="111"/>
      <c r="O124" s="111"/>
      <c r="P124" s="111"/>
      <c r="Q124" s="59"/>
      <c r="R124" s="59"/>
      <c r="S124" s="59"/>
    </row>
    <row r="125" spans="2:19" x14ac:dyDescent="0.25">
      <c r="B125" s="111"/>
      <c r="C125" s="111"/>
      <c r="D125" s="112"/>
      <c r="E125" s="111"/>
      <c r="F125" s="111"/>
      <c r="G125" s="111"/>
      <c r="H125" s="112"/>
      <c r="I125" s="111"/>
      <c r="J125" s="111"/>
      <c r="K125" s="111"/>
      <c r="L125" s="111"/>
      <c r="M125" s="111"/>
      <c r="N125" s="111"/>
      <c r="O125" s="111"/>
      <c r="P125" s="111"/>
      <c r="Q125" s="59"/>
      <c r="R125" s="59"/>
      <c r="S125" s="59"/>
    </row>
    <row r="126" spans="2:19" x14ac:dyDescent="0.25">
      <c r="B126" s="111"/>
      <c r="C126" s="111"/>
      <c r="D126" s="112"/>
      <c r="E126" s="111"/>
      <c r="F126" s="111"/>
      <c r="G126" s="111"/>
      <c r="H126" s="112"/>
      <c r="I126" s="111"/>
      <c r="J126" s="111"/>
      <c r="K126" s="111"/>
      <c r="L126" s="111"/>
      <c r="M126" s="111"/>
      <c r="N126" s="111"/>
      <c r="O126" s="111"/>
      <c r="P126" s="111"/>
      <c r="Q126" s="59"/>
      <c r="R126" s="59"/>
      <c r="S126" s="59"/>
    </row>
    <row r="127" spans="2:19" x14ac:dyDescent="0.25">
      <c r="B127" s="111"/>
      <c r="C127" s="111"/>
      <c r="D127" s="112"/>
      <c r="E127" s="111"/>
      <c r="F127" s="111"/>
      <c r="G127" s="111"/>
      <c r="H127" s="112"/>
      <c r="I127" s="111"/>
      <c r="J127" s="111"/>
      <c r="K127" s="111"/>
      <c r="L127" s="111"/>
      <c r="M127" s="111"/>
      <c r="N127" s="111"/>
      <c r="O127" s="111"/>
      <c r="P127" s="111"/>
      <c r="Q127" s="59"/>
      <c r="R127" s="59"/>
      <c r="S127" s="59"/>
    </row>
    <row r="128" spans="2:19" x14ac:dyDescent="0.25">
      <c r="B128" s="111"/>
      <c r="C128" s="111"/>
      <c r="D128" s="112"/>
      <c r="E128" s="111"/>
      <c r="F128" s="111"/>
      <c r="G128" s="111"/>
      <c r="H128" s="112"/>
      <c r="I128" s="111"/>
      <c r="J128" s="111"/>
      <c r="K128" s="111"/>
      <c r="L128" s="111"/>
      <c r="M128" s="111"/>
      <c r="N128" s="111"/>
      <c r="O128" s="111"/>
      <c r="P128" s="111"/>
      <c r="Q128" s="59"/>
      <c r="R128" s="59"/>
      <c r="S128" s="59"/>
    </row>
    <row r="129" spans="2:19" x14ac:dyDescent="0.25">
      <c r="B129" s="111"/>
      <c r="C129" s="111"/>
      <c r="D129" s="112"/>
      <c r="E129" s="111"/>
      <c r="F129" s="111"/>
      <c r="G129" s="111"/>
      <c r="H129" s="112"/>
      <c r="I129" s="111"/>
      <c r="J129" s="111"/>
      <c r="K129" s="111"/>
      <c r="L129" s="111"/>
      <c r="M129" s="111"/>
      <c r="N129" s="111"/>
      <c r="O129" s="111"/>
      <c r="P129" s="111"/>
      <c r="Q129" s="59"/>
      <c r="R129" s="59"/>
      <c r="S129" s="59"/>
    </row>
    <row r="130" spans="2:19" x14ac:dyDescent="0.25">
      <c r="B130" s="111"/>
      <c r="C130" s="111"/>
      <c r="D130" s="112"/>
      <c r="E130" s="111"/>
      <c r="F130" s="111"/>
      <c r="G130" s="111"/>
      <c r="H130" s="112"/>
      <c r="I130" s="111"/>
      <c r="J130" s="111"/>
      <c r="K130" s="111"/>
      <c r="L130" s="111"/>
      <c r="M130" s="111"/>
      <c r="N130" s="111"/>
      <c r="O130" s="111"/>
      <c r="P130" s="111"/>
      <c r="Q130" s="59"/>
      <c r="R130" s="59"/>
      <c r="S130" s="59"/>
    </row>
    <row r="131" spans="2:19" x14ac:dyDescent="0.25">
      <c r="B131" s="59"/>
      <c r="C131" s="59"/>
      <c r="D131" s="59"/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</row>
    <row r="132" spans="2:19" x14ac:dyDescent="0.25">
      <c r="B132" s="59"/>
      <c r="C132" s="59"/>
      <c r="D132" s="59"/>
      <c r="E132" s="59"/>
      <c r="F132" s="59"/>
      <c r="G132" s="59"/>
      <c r="H132" s="59"/>
      <c r="I132" s="59"/>
      <c r="J132" s="59"/>
      <c r="K132" s="59"/>
      <c r="L132" s="59"/>
      <c r="M132" s="59"/>
      <c r="N132" s="59"/>
      <c r="O132" s="59"/>
      <c r="P132" s="59"/>
      <c r="Q132" s="59"/>
      <c r="R132" s="59"/>
      <c r="S132" s="59"/>
    </row>
    <row r="133" spans="2:19" x14ac:dyDescent="0.25">
      <c r="B133" s="124"/>
      <c r="C133" s="124"/>
      <c r="D133" s="124"/>
      <c r="E133" s="124"/>
      <c r="F133" s="111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</row>
    <row r="134" spans="2:19" x14ac:dyDescent="0.25">
      <c r="B134" s="59"/>
      <c r="C134" s="59"/>
      <c r="D134" s="59"/>
      <c r="E134" s="59"/>
      <c r="F134" s="59"/>
      <c r="G134" s="59"/>
      <c r="H134" s="59"/>
      <c r="I134" s="59"/>
      <c r="J134" s="59"/>
      <c r="K134" s="59"/>
      <c r="L134" s="59"/>
      <c r="M134" s="59"/>
      <c r="N134" s="59"/>
      <c r="O134" s="59"/>
      <c r="P134" s="59"/>
      <c r="Q134" s="59"/>
      <c r="R134" s="59"/>
      <c r="S134" s="59"/>
    </row>
    <row r="135" spans="2:19" x14ac:dyDescent="0.25">
      <c r="B135" s="59"/>
      <c r="C135" s="59"/>
      <c r="D135" s="59"/>
      <c r="E135" s="59"/>
      <c r="F135" s="59"/>
      <c r="G135" s="59"/>
      <c r="H135" s="59"/>
      <c r="I135" s="59"/>
      <c r="J135" s="59"/>
      <c r="K135" s="59"/>
      <c r="L135" s="59"/>
      <c r="M135" s="59"/>
      <c r="N135" s="59"/>
      <c r="O135" s="59"/>
      <c r="P135" s="59"/>
      <c r="Q135" s="59"/>
      <c r="R135" s="59"/>
      <c r="S135" s="59"/>
    </row>
  </sheetData>
  <sheetProtection password="E700" sheet="1" objects="1" scenarios="1"/>
  <mergeCells count="2">
    <mergeCell ref="M92:P92"/>
    <mergeCell ref="B133:E13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Aplicación</vt:lpstr>
      <vt:lpstr>Promedios</vt:lpstr>
      <vt:lpstr>Base de Datos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Matías</dc:creator>
  <cp:lastModifiedBy>Matías</cp:lastModifiedBy>
  <dcterms:created xsi:type="dcterms:W3CDTF">2016-05-23T22:14:58Z</dcterms:created>
  <dcterms:modified xsi:type="dcterms:W3CDTF">2016-11-19T20:05:11Z</dcterms:modified>
</cp:coreProperties>
</file>